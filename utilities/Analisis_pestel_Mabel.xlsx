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aBel\utilities\"/>
    </mc:Choice>
  </mc:AlternateContent>
  <xr:revisionPtr revIDLastSave="0" documentId="13_ncr:1_{59802193-D0D9-40A5-ADF7-AF2929FCC772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CRITERIOS" sheetId="4" r:id="rId1"/>
    <sheet name="ELEMENTOS" sheetId="3" r:id="rId2"/>
    <sheet name="PESTEL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gb8ggKiiGqaDDxs7VbhGlVsOGbkg=="/>
    </ext>
  </extLst>
</workbook>
</file>

<file path=xl/calcChain.xml><?xml version="1.0" encoding="utf-8"?>
<calcChain xmlns="http://schemas.openxmlformats.org/spreadsheetml/2006/main">
  <c r="H28" i="1" l="1"/>
  <c r="H27" i="1"/>
  <c r="H6" i="1"/>
  <c r="H7" i="1"/>
  <c r="H11" i="1"/>
  <c r="H12" i="1"/>
  <c r="H13" i="1"/>
  <c r="H15" i="1"/>
  <c r="H19" i="1"/>
  <c r="H20" i="1"/>
  <c r="H21" i="1"/>
  <c r="H23" i="1"/>
  <c r="H4" i="1"/>
  <c r="H26" i="1"/>
  <c r="H25" i="1"/>
  <c r="H24" i="1"/>
  <c r="H22" i="1"/>
  <c r="H18" i="1"/>
  <c r="H17" i="1"/>
  <c r="H16" i="1"/>
  <c r="H14" i="1"/>
  <c r="H10" i="1"/>
  <c r="H9" i="1"/>
  <c r="H8" i="1"/>
  <c r="H5" i="1"/>
</calcChain>
</file>

<file path=xl/sharedStrings.xml><?xml version="1.0" encoding="utf-8"?>
<sst xmlns="http://schemas.openxmlformats.org/spreadsheetml/2006/main" count="616" uniqueCount="302">
  <si>
    <t>IMPACTO</t>
  </si>
  <si>
    <t>DURACIÓN</t>
  </si>
  <si>
    <t>TOTAL</t>
  </si>
  <si>
    <r>
      <rPr>
        <b/>
        <sz val="10"/>
        <color theme="1"/>
        <rFont val="Calibri"/>
      </rPr>
      <t xml:space="preserve">Oportunidad </t>
    </r>
    <r>
      <rPr>
        <sz val="10"/>
        <color theme="1"/>
        <rFont val="Calibri"/>
      </rPr>
      <t xml:space="preserve">      </t>
    </r>
    <r>
      <rPr>
        <sz val="8"/>
        <color theme="1"/>
        <rFont val="Calibri"/>
      </rPr>
      <t>Marcar con una "X"</t>
    </r>
  </si>
  <si>
    <r>
      <rPr>
        <b/>
        <sz val="11"/>
        <color theme="1"/>
        <rFont val="Calibri"/>
      </rPr>
      <t xml:space="preserve">Amenaza </t>
    </r>
    <r>
      <rPr>
        <sz val="11"/>
        <color theme="1"/>
        <rFont val="Calibri"/>
      </rPr>
      <t xml:space="preserve">    </t>
    </r>
    <r>
      <rPr>
        <sz val="9"/>
        <color theme="1"/>
        <rFont val="Calibri"/>
      </rPr>
      <t>Marcar con una "X"</t>
    </r>
  </si>
  <si>
    <t>CRITERIO</t>
  </si>
  <si>
    <t>SIM</t>
  </si>
  <si>
    <t>DESCRIPCIÓN</t>
  </si>
  <si>
    <t>Alto = 3 puntos  Medio = 2 puntos   Bajo = 1 punto</t>
  </si>
  <si>
    <t>&gt; 6 meses = 3 puntos   &lt;6 meses = 2 puntos       &lt;1 mes = 1 punto</t>
  </si>
  <si>
    <t>P</t>
  </si>
  <si>
    <t>POLÍTICO</t>
  </si>
  <si>
    <t>P1</t>
  </si>
  <si>
    <t>Estabilidad política</t>
  </si>
  <si>
    <t>x</t>
  </si>
  <si>
    <t>P2</t>
  </si>
  <si>
    <t>Informalidad</t>
  </si>
  <si>
    <t>P3</t>
  </si>
  <si>
    <t>Política de inversión del Estado</t>
  </si>
  <si>
    <t>P4</t>
  </si>
  <si>
    <t>Corrupción</t>
  </si>
  <si>
    <t>E</t>
  </si>
  <si>
    <t>ECONÓMICO</t>
  </si>
  <si>
    <t>E1</t>
  </si>
  <si>
    <t>E2</t>
  </si>
  <si>
    <t>E3</t>
  </si>
  <si>
    <t>E4</t>
  </si>
  <si>
    <t>E6</t>
  </si>
  <si>
    <t>S</t>
  </si>
  <si>
    <t>SOCIAL</t>
  </si>
  <si>
    <t>S1</t>
  </si>
  <si>
    <t>S2</t>
  </si>
  <si>
    <t>S3</t>
  </si>
  <si>
    <t>S4</t>
  </si>
  <si>
    <t>Inmigración extranjera</t>
  </si>
  <si>
    <t>S5</t>
  </si>
  <si>
    <t>S6</t>
  </si>
  <si>
    <t>S7</t>
  </si>
  <si>
    <t>S8</t>
  </si>
  <si>
    <t>T</t>
  </si>
  <si>
    <t>TECNOLÓGICO</t>
  </si>
  <si>
    <t>T1</t>
  </si>
  <si>
    <t>T2</t>
  </si>
  <si>
    <t>T3</t>
  </si>
  <si>
    <t>T4</t>
  </si>
  <si>
    <t>Velocidad de transferencia tecnológica</t>
  </si>
  <si>
    <t>ECOLÓGICO</t>
  </si>
  <si>
    <t>Amenaza de epidemias y pandemias</t>
  </si>
  <si>
    <t>L</t>
  </si>
  <si>
    <t>LEGAL</t>
  </si>
  <si>
    <t>L1</t>
  </si>
  <si>
    <t>Regulación de delitos informáticos</t>
  </si>
  <si>
    <t>L2</t>
  </si>
  <si>
    <t>Política fiscal</t>
  </si>
  <si>
    <t>Seguridad jurídica</t>
  </si>
  <si>
    <t>P5</t>
  </si>
  <si>
    <t>Contrabando</t>
  </si>
  <si>
    <t>P6</t>
  </si>
  <si>
    <t>P7</t>
  </si>
  <si>
    <t>Sistema del gobierno</t>
  </si>
  <si>
    <t>P8</t>
  </si>
  <si>
    <t>Defensa a la libre competencia</t>
  </si>
  <si>
    <t>P9</t>
  </si>
  <si>
    <t>Respeto por la propiedad privada</t>
  </si>
  <si>
    <t>P10</t>
  </si>
  <si>
    <t>P11</t>
  </si>
  <si>
    <t>Respeto por la propiedad intelectual</t>
  </si>
  <si>
    <t>P12</t>
  </si>
  <si>
    <t>Seguridad y orden interno</t>
  </si>
  <si>
    <t>P13</t>
  </si>
  <si>
    <t>Relación con otros países</t>
  </si>
  <si>
    <t>P14</t>
  </si>
  <si>
    <t>Respeto por los derechos humanos</t>
  </si>
  <si>
    <t>P15</t>
  </si>
  <si>
    <t>Relaciones con organismos internacionales</t>
  </si>
  <si>
    <t>PBI nacional</t>
  </si>
  <si>
    <t>PBI percápita</t>
  </si>
  <si>
    <t>Tasa de interés</t>
  </si>
  <si>
    <t>Tasa de inflación</t>
  </si>
  <si>
    <t>E5</t>
  </si>
  <si>
    <t>Costo de mano de obra</t>
  </si>
  <si>
    <t>Costo de materia prima</t>
  </si>
  <si>
    <t>E7</t>
  </si>
  <si>
    <t>Nivel de informalidad</t>
  </si>
  <si>
    <t>E8</t>
  </si>
  <si>
    <t>Nivel de aranceles</t>
  </si>
  <si>
    <t>E9</t>
  </si>
  <si>
    <t>Riesgo país</t>
  </si>
  <si>
    <t>E10</t>
  </si>
  <si>
    <t>Riesgo sector</t>
  </si>
  <si>
    <t>E11</t>
  </si>
  <si>
    <t>Acuerdos de integración económica</t>
  </si>
  <si>
    <t>E12</t>
  </si>
  <si>
    <t>Sistema económico</t>
  </si>
  <si>
    <t>E13</t>
  </si>
  <si>
    <t>Acceso al crédito</t>
  </si>
  <si>
    <t>E14</t>
  </si>
  <si>
    <t>Volumen de inversión extranjera</t>
  </si>
  <si>
    <t>E15</t>
  </si>
  <si>
    <t>Volumen de inversión privada</t>
  </si>
  <si>
    <t>E16</t>
  </si>
  <si>
    <t>Volumen de inversión del estado</t>
  </si>
  <si>
    <t>E17</t>
  </si>
  <si>
    <t>Prácticas monopólicas</t>
  </si>
  <si>
    <t>E18</t>
  </si>
  <si>
    <t>Déficit fiscal</t>
  </si>
  <si>
    <t>E19</t>
  </si>
  <si>
    <t>Actividad de mercados bursátiles</t>
  </si>
  <si>
    <t>E20</t>
  </si>
  <si>
    <t>Situación económica mundial</t>
  </si>
  <si>
    <t>E21</t>
  </si>
  <si>
    <t>Situación de la balanza comercial</t>
  </si>
  <si>
    <t>Tasa de crecimiento poblacional</t>
  </si>
  <si>
    <t>Tasa de empleo</t>
  </si>
  <si>
    <t>Tasa de subempleo</t>
  </si>
  <si>
    <t>Nivel de pobreza</t>
  </si>
  <si>
    <t>Nivel de pobreza extrema</t>
  </si>
  <si>
    <t>Distribución de la riqueza - Coef. Gini</t>
  </si>
  <si>
    <t>S9</t>
  </si>
  <si>
    <t>Tasa de analfabetismo</t>
  </si>
  <si>
    <t>S10</t>
  </si>
  <si>
    <t>Nivel promedio de educación</t>
  </si>
  <si>
    <t>S11</t>
  </si>
  <si>
    <t>Cultura y creencias</t>
  </si>
  <si>
    <t>S12</t>
  </si>
  <si>
    <t>Estilo de vida de la población</t>
  </si>
  <si>
    <t>S13</t>
  </si>
  <si>
    <t>Esperanza de vida</t>
  </si>
  <si>
    <t>S14</t>
  </si>
  <si>
    <t>Tasa de mortalidad</t>
  </si>
  <si>
    <t>S15</t>
  </si>
  <si>
    <t>Esperanza de vida al nacer</t>
  </si>
  <si>
    <t>S16</t>
  </si>
  <si>
    <t>Tasa de inmigración y emigración</t>
  </si>
  <si>
    <t>S17</t>
  </si>
  <si>
    <t>Hogares con acceso a internet</t>
  </si>
  <si>
    <t>S18</t>
  </si>
  <si>
    <t>Pirámide poblacional</t>
  </si>
  <si>
    <t>S19</t>
  </si>
  <si>
    <t>Valores y ética</t>
  </si>
  <si>
    <t>S20</t>
  </si>
  <si>
    <t>Responsabilidad social</t>
  </si>
  <si>
    <t>S21</t>
  </si>
  <si>
    <t>Uso el tiempo libre</t>
  </si>
  <si>
    <t>S22</t>
  </si>
  <si>
    <t>Confllictos religiosos y étnicos</t>
  </si>
  <si>
    <t>S23</t>
  </si>
  <si>
    <t>Calidad de vida</t>
  </si>
  <si>
    <t>S24</t>
  </si>
  <si>
    <t>Actitud hacia la globalización</t>
  </si>
  <si>
    <t>Estudios de biotecnología</t>
  </si>
  <si>
    <t>Avance en ciencia de los materiales</t>
  </si>
  <si>
    <t>Desarrollo de soluciones informáticas</t>
  </si>
  <si>
    <t>Mejoras e innovaciones tecnológicas</t>
  </si>
  <si>
    <t>Desarrollo de canales de distribución on-line</t>
  </si>
  <si>
    <t>Aplicaciones de multimedia</t>
  </si>
  <si>
    <t>Automatización</t>
  </si>
  <si>
    <t>Internet</t>
  </si>
  <si>
    <t>Evolución del número de patentes</t>
  </si>
  <si>
    <t>Inversión en I&amp;D</t>
  </si>
  <si>
    <t>A1</t>
  </si>
  <si>
    <t>Protección del medio ambiente</t>
  </si>
  <si>
    <t>A2</t>
  </si>
  <si>
    <t>Preservación de RN no renovables</t>
  </si>
  <si>
    <t>A3</t>
  </si>
  <si>
    <t>Desastres naturales</t>
  </si>
  <si>
    <t>A4</t>
  </si>
  <si>
    <t>Cultura de reciclaje</t>
  </si>
  <si>
    <t>A5</t>
  </si>
  <si>
    <t>Manejo de desperdicios y desechos</t>
  </si>
  <si>
    <t>A6</t>
  </si>
  <si>
    <t>Conservación de la energía</t>
  </si>
  <si>
    <t>A7</t>
  </si>
  <si>
    <t>Presencia de movimientos ambientalistas</t>
  </si>
  <si>
    <t>A8</t>
  </si>
  <si>
    <t>A9</t>
  </si>
  <si>
    <t>Contaminación de aire, agua y tierra</t>
  </si>
  <si>
    <t>A10</t>
  </si>
  <si>
    <t>Deterioro de la capa de ozono</t>
  </si>
  <si>
    <t>Constitución de la República</t>
  </si>
  <si>
    <t>Decretos supremos</t>
  </si>
  <si>
    <t>L3</t>
  </si>
  <si>
    <t>L4</t>
  </si>
  <si>
    <t>Normas legales</t>
  </si>
  <si>
    <t>L5</t>
  </si>
  <si>
    <t>Tratados internacionales</t>
  </si>
  <si>
    <t>L6</t>
  </si>
  <si>
    <t>Certificaciones internacionales</t>
  </si>
  <si>
    <t>L7</t>
  </si>
  <si>
    <t>Certificaciones nacionales</t>
  </si>
  <si>
    <t>L8</t>
  </si>
  <si>
    <t>Legislación laboral</t>
  </si>
  <si>
    <t>L9</t>
  </si>
  <si>
    <t>Legislación arancelaria</t>
  </si>
  <si>
    <t>L10</t>
  </si>
  <si>
    <t>Subsidios</t>
  </si>
  <si>
    <t>ID</t>
  </si>
  <si>
    <t>ALTO</t>
  </si>
  <si>
    <t>MEDIO</t>
  </si>
  <si>
    <t>FACTOR</t>
  </si>
  <si>
    <t>DESCRIPCIÓN ESTRATÉGICA</t>
  </si>
  <si>
    <t>JUSTIFICACIÓN TÉCNICA</t>
  </si>
  <si>
    <t>Auge de Manufactura y Finanzas Crecimiento &gt;8%</t>
  </si>
  <si>
    <t>Crecimiento de Matrícula Técnica 25.03% semestral</t>
  </si>
  <si>
    <t>Títulos Obtenidos por Mujeres 56.1%</t>
  </si>
  <si>
    <t>Demanda en Ciberseguridad y Big Data 28.5%</t>
  </si>
  <si>
    <t>Acceso a Internet en Hogares 71.3%</t>
  </si>
  <si>
    <t>Brecha Rural Acceso de solo el 45.3%</t>
  </si>
  <si>
    <t>Maestrías Tecnológicas Crecimiento del 25%</t>
  </si>
  <si>
    <t>Escalafón Docente 70% de cumplimiento CES</t>
  </si>
  <si>
    <t>Incentivos para Bachillerato Técnico para 33k nuevos alumnos</t>
  </si>
  <si>
    <t>Inversión en Educación Pública genera un ajuste presupuestario</t>
  </si>
  <si>
    <t xml:space="preserve">Política pública en formación en linea </t>
  </si>
  <si>
    <t>Crecimiento del PIB con una proyección 1.8% para 2026</t>
  </si>
  <si>
    <t>Desempleo Juvenil del 80.1% con dificultades de inserción</t>
  </si>
  <si>
    <t>Consumo de Hogares con un crecimiento del 10.2%</t>
  </si>
  <si>
    <t>Deserción en el Primer Año con una meta de reducción al 19.8%</t>
  </si>
  <si>
    <t>Adopción de IA en currículo en el 47.3% de programas</t>
  </si>
  <si>
    <t>Aspirantes SENESCYT 250000 alumnos por periodo</t>
  </si>
  <si>
    <t>Demanda Insatisfecha 150000 jóvenes sin cupo público</t>
  </si>
  <si>
    <t>Conciencia ambiental institucional</t>
  </si>
  <si>
    <t>Inclusión de temas ambientales en la formación</t>
  </si>
  <si>
    <t>La sostenibilidad se ha convertido en un valor social relevante</t>
  </si>
  <si>
    <t>Responsabilidad social ambiental</t>
  </si>
  <si>
    <t>Ley de Acceso Universal a la Educación</t>
  </si>
  <si>
    <t>FUENTE</t>
  </si>
  <si>
    <t xml:space="preserve">HERRAMIENTA PESTEL </t>
  </si>
  <si>
    <t>Preferencia de los ecuatorianos a comprar por internet</t>
  </si>
  <si>
    <t>Ley de Regulación a Contrabando de Tecnología SENAE 2026</t>
  </si>
  <si>
    <t>Alta informalidad en venta de alimentos callejeros.</t>
  </si>
  <si>
    <t>Genera competencia desleal en precios para negocios formales.</t>
  </si>
  <si>
    <t>Posibles impuestos o permisos municipales para negocios de comida.</t>
  </si>
  <si>
    <t>Incrementa costos operativos iniciales.</t>
  </si>
  <si>
    <t>Obliga a cumplir normas de higiene y permisos para operar.</t>
  </si>
  <si>
    <t>Regulaciones sanitarias para manipulación de alimentos.</t>
  </si>
  <si>
    <t>Incremento del precio de alimentos básicos</t>
  </si>
  <si>
    <t>Afecta costos de productos como pan, huevo y frutas</t>
  </si>
  <si>
    <t>Bajo poder adquisitivo en algunos segmentos</t>
  </si>
  <si>
    <t>Bajo costo de mano de obra en microemprendimientos</t>
  </si>
  <si>
    <t>Facilita contratar personal para preparación</t>
  </si>
  <si>
    <t>Estilo de vida acelerado de estudiantes y trabajadores</t>
  </si>
  <si>
    <t>Genera demanda de desayunos rápidos</t>
  </si>
  <si>
    <t>Mayor interés por alimentación saludable</t>
  </si>
  <si>
    <t>Favorece productos con frutas y opciones nutritivas</t>
  </si>
  <si>
    <t>Poco tiempo para preparar desayuno en casa</t>
  </si>
  <si>
    <t>Incrementa consumo fuera del hogar</t>
  </si>
  <si>
    <t>Desarrollo de apps de delivery</t>
  </si>
  <si>
    <t>Facilita distribución y ventas</t>
  </si>
  <si>
    <t>Uso de sistemas de pago digital</t>
  </si>
  <si>
    <t>Mejora la experiencia del cliente</t>
  </si>
  <si>
    <t>Uso de internet para promoción en redes sociales</t>
  </si>
  <si>
    <t>Permite promocionar Easy Breakfast a bajo costo</t>
  </si>
  <si>
    <t>Cultura creciente de reciclaje</t>
  </si>
  <si>
    <t>Favorece uso de envases ecológicos</t>
  </si>
  <si>
    <t>Preferencia por productos sostenibles</t>
  </si>
  <si>
    <t>Consumidores valoran negocios responsables</t>
  </si>
  <si>
    <t>Manejo adecuado de residuos de alimentos</t>
  </si>
  <si>
    <t>Necesario para evitar contaminación</t>
  </si>
  <si>
    <t>Normas sanitarias para venta de alimentos</t>
  </si>
  <si>
    <t>Requisito obligatorio para operar</t>
  </si>
  <si>
    <t>Certificaciones de manipulación de alimentos</t>
  </si>
  <si>
    <t>Garantiza seguridad alimentaria</t>
  </si>
  <si>
    <t>Legislación laboral para contratación de empleados</t>
  </si>
  <si>
    <t>Debe cumplirse si se contrata personal</t>
  </si>
  <si>
    <t>https://www.gob.ec/mdg/tramites/emision-permisos-funcionamiento-establecimientos-categoria-45-7-locales-consumo-alimentos-preparados-centros-entretenimiento-venta-bebidas-alcoholicas-supermercado-bodegas</t>
  </si>
  <si>
    <t>https://www.agricultura.gob.ec/correcta-manipulacion-de-alimentos-evita-contagio-de-enfermedades/</t>
  </si>
  <si>
    <t>Baja inversión y apoyo del Estado en desarrollo social y emprendimiento.</t>
  </si>
  <si>
    <t>Lleva a que mas emprendimientos cierren despues de pocos años de funcionamiento.</t>
  </si>
  <si>
    <t>https://www.elcomercio.com/actualidad/politica/inversion-publica-ecuador-bajas-ultimos-anos/</t>
  </si>
  <si>
    <t>https://www.ecuadorencifras.gob.ec/encuesta-de-estratificacion-del-nivel-socioeconomico/</t>
  </si>
  <si>
    <t>https://www.ecuadorencifras.gob.ec/canasta/</t>
  </si>
  <si>
    <t>https://scioteca.caf.com/bitstream/handle/123456789/2132/CAF_PYMES_ECUADOR.pdf</t>
  </si>
  <si>
    <t>Obliga a mantener precios accesibles y a disminuir publico objetivo</t>
  </si>
  <si>
    <t>Altos riesgos derivados de la crisis de seguridad nacional.</t>
  </si>
  <si>
    <t>https://www.ecuadorencifras.gob.ec/empleo-en-el-sector-informal/</t>
  </si>
  <si>
    <t>Amenaza el flujo de caja debido a robos y perdidas de envios.</t>
  </si>
  <si>
    <t>Incremento de la preferencia por comprar online.</t>
  </si>
  <si>
    <t>Facilidad de captar mayor cantidad ventas por internet que de manera presencial.</t>
  </si>
  <si>
    <t>https://www.mapfreglobalrisks.com/gerencia-riesgos-seguros/articulos/grandes-ciudades-grandes-riesgos-quito/</t>
  </si>
  <si>
    <t>https://observatorioecuadordigital.mintel.gob.ec/wp-content/uploads/2023/01/CITEC-Situacion-del-E-Commerce-en-Ecuador.pdf</t>
  </si>
  <si>
    <t>https://www.quitoinforma.gob.ec/2025/03/24/quito-lidera-el-camino-hacia-una-ciudad-saludable/</t>
  </si>
  <si>
    <t>https://www.quitoinforma.gob.ec/2025/03/27/estudio-revela-que-quito-tiene-una-fuerza-laboral-dinamica-y-mayor-acceso-al-empleo-formal/</t>
  </si>
  <si>
    <t>Incremento de videos mostrando la preparación de comidas rapidas.</t>
  </si>
  <si>
    <t>https://imagineloagencia.com/ec/desarrollo-apps</t>
  </si>
  <si>
    <t>https://dialnet.unirioja.es/descarga/articulo/9698312.pdf</t>
  </si>
  <si>
    <t>https://dialnet.unirioja.es/descarga/articulo/10264957.pdf</t>
  </si>
  <si>
    <t>La transferencia tecnológica en Quito está en una fase de maduración enfocada en crear productos que se pueden vender desde la web.</t>
  </si>
  <si>
    <t>Los emprendimeintos que innovan y que suman tecnologia pueden incrementar sus ventas y alcance.</t>
  </si>
  <si>
    <t>https://www.telecomunicaciones.gob.ec/wp-content/uploads/2021/05/20210218_Impacto-de-5G-en-Industrias-Ecuador-Rev-F-1.pdf</t>
  </si>
  <si>
    <t>https://www.proecuador.gob.ec/estudio-revela-importantes-hallazgos-sobre-el-consumo-de-productos-naturales-y-organicos/</t>
  </si>
  <si>
    <t>https://recobaq.com/quito-y-el-reto-del-reciclaje/</t>
  </si>
  <si>
    <t>https://cdsa.aacademica.org/000-030/1516.pdf</t>
  </si>
  <si>
    <t xml:space="preserve">Presencia y alineamiento con movimientos ambientalistas </t>
  </si>
  <si>
    <t>https://www.alainet.org/publica/diversidad/movambiental.html</t>
  </si>
  <si>
    <t>Util para mantener conciencia ciudadana en el uso de empaques biodegradables.</t>
  </si>
  <si>
    <t>https://www.controlsanitario.gob.ec/wp-content/uploads/downloads/2013/11/REGLAMENTO-DE-REGISTRO-Y-CONTROL-SANITARIO-DE-ALIMENTOS.pdf</t>
  </si>
  <si>
    <t>https://www.controlsanitario.gob.ec/certificado-de-manipulacion-de-alimentos-no-es-requisito-previo-para-tramites-de-arcsa/</t>
  </si>
  <si>
    <t>https://www.ces.gob.ec/lotaip/2020/Junio/Literal_a2/C%C3%B3digo%20del%20Trabajo.pdf</t>
  </si>
  <si>
    <t>Deducción de Impuesto a la Renta.</t>
  </si>
  <si>
    <t>Puede ser un incentivo para pymes y emprendimeintos.</t>
  </si>
  <si>
    <t>https://www.proecuador.gob.ec/incentivos/</t>
  </si>
  <si>
    <t>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</si>
</sst>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scheme val="minor"/>
    </font>
    <font>
      <sz val="9"/>
      <color theme="1"/>
      <name val="Calibri"/>
      <scheme val="minor"/>
    </font>
    <font>
      <sz val="10"/>
      <color theme="1"/>
      <name val="Calibri"/>
      <scheme val="minor"/>
    </font>
    <font>
      <sz val="11"/>
      <name val="Calibri"/>
    </font>
    <font>
      <sz val="8"/>
      <color theme="1"/>
      <name val="Calibri"/>
      <scheme val="minor"/>
    </font>
    <font>
      <sz val="48"/>
      <color theme="1"/>
      <name val="Calibri"/>
      <scheme val="minor"/>
    </font>
    <font>
      <b/>
      <sz val="11"/>
      <color rgb="FFFF0000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sz val="8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9"/>
      <color theme="1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FFC1"/>
        <bgColor rgb="FFFFFFC1"/>
      </patternFill>
    </fill>
    <fill>
      <patternFill patternType="solid">
        <fgColor rgb="FFE2EFD9"/>
        <bgColor rgb="FFE2EFD9"/>
      </patternFill>
    </fill>
    <fill>
      <patternFill patternType="solid">
        <fgColor rgb="FFE2CFF1"/>
        <bgColor rgb="FFE2CFF1"/>
      </patternFill>
    </fill>
    <fill>
      <patternFill patternType="solid">
        <fgColor rgb="FFFF99FF"/>
        <bgColor rgb="FFECECEC"/>
      </patternFill>
    </fill>
    <fill>
      <patternFill patternType="solid">
        <fgColor rgb="FFFF99FF"/>
        <bgColor rgb="FFDEEAF6"/>
      </patternFill>
    </fill>
    <fill>
      <patternFill patternType="solid">
        <fgColor rgb="FFFF99FF"/>
        <bgColor rgb="FFFBE4D5"/>
      </patternFill>
    </fill>
    <fill>
      <patternFill patternType="solid">
        <fgColor rgb="FFFF99FF"/>
        <bgColor rgb="FFFFFFC1"/>
      </patternFill>
    </fill>
    <fill>
      <patternFill patternType="solid">
        <fgColor rgb="FFFF99FF"/>
        <bgColor rgb="FFE2EFD9"/>
      </patternFill>
    </fill>
    <fill>
      <patternFill patternType="solid">
        <fgColor rgb="FFFF99FF"/>
        <bgColor rgb="FFE2CFF1"/>
      </patternFill>
    </fill>
    <fill>
      <patternFill patternType="solid">
        <fgColor theme="5" tint="0.79998168889431442"/>
        <bgColor rgb="FFDEEAF6"/>
      </patternFill>
    </fill>
    <fill>
      <patternFill patternType="solid">
        <fgColor rgb="FFFFFFC1"/>
        <bgColor rgb="FFFBE4D5"/>
      </patternFill>
    </fill>
    <fill>
      <patternFill patternType="solid">
        <fgColor theme="4" tint="0.79998168889431442"/>
        <bgColor rgb="FFFFFFC1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3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2" borderId="2" xfId="0" applyFont="1" applyFill="1" applyBorder="1"/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5" fillId="5" borderId="2" xfId="0" applyFont="1" applyFill="1" applyBorder="1"/>
    <xf numFmtId="0" fontId="0" fillId="5" borderId="2" xfId="0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0" fillId="2" borderId="7" xfId="0" applyFill="1" applyBorder="1"/>
    <xf numFmtId="0" fontId="0" fillId="4" borderId="7" xfId="0" applyFill="1" applyBorder="1"/>
    <xf numFmtId="10" fontId="0" fillId="0" borderId="0" xfId="0" applyNumberFormat="1"/>
    <xf numFmtId="0" fontId="0" fillId="5" borderId="7" xfId="0" applyFill="1" applyBorder="1"/>
    <xf numFmtId="0" fontId="0" fillId="6" borderId="7" xfId="0" applyFill="1" applyBorder="1"/>
    <xf numFmtId="0" fontId="0" fillId="7" borderId="7" xfId="0" applyFill="1" applyBorder="1"/>
    <xf numFmtId="0" fontId="0" fillId="8" borderId="7" xfId="0" applyFill="1" applyBorder="1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left" vertical="center" wrapText="1" indent="1" readingOrder="1"/>
    </xf>
    <xf numFmtId="0" fontId="17" fillId="0" borderId="10" xfId="0" applyFont="1" applyBorder="1" applyAlignment="1">
      <alignment horizontal="left" vertical="center" wrapText="1" indent="1" readingOrder="1"/>
    </xf>
    <xf numFmtId="0" fontId="19" fillId="2" borderId="2" xfId="0" applyFont="1" applyFill="1" applyBorder="1"/>
    <xf numFmtId="0" fontId="19" fillId="4" borderId="2" xfId="0" applyFont="1" applyFill="1" applyBorder="1"/>
    <xf numFmtId="0" fontId="19" fillId="5" borderId="2" xfId="0" applyFont="1" applyFill="1" applyBorder="1"/>
    <xf numFmtId="0" fontId="19" fillId="8" borderId="2" xfId="0" applyFont="1" applyFill="1" applyBorder="1" applyAlignment="1">
      <alignment wrapText="1"/>
    </xf>
    <xf numFmtId="0" fontId="19" fillId="8" borderId="2" xfId="0" applyFont="1" applyFill="1" applyBorder="1" applyAlignment="1">
      <alignment vertical="center"/>
    </xf>
    <xf numFmtId="0" fontId="17" fillId="0" borderId="9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8" borderId="3" xfId="0" applyFill="1" applyBorder="1"/>
    <xf numFmtId="0" fontId="18" fillId="0" borderId="15" xfId="0" applyFont="1" applyBorder="1" applyAlignment="1">
      <alignment horizontal="left" vertical="center" wrapText="1" indent="1" readingOrder="1"/>
    </xf>
    <xf numFmtId="0" fontId="17" fillId="0" borderId="11" xfId="0" applyFont="1" applyBorder="1" applyAlignment="1">
      <alignment horizontal="left" vertical="center" wrapText="1" indent="1" readingOrder="1"/>
    </xf>
    <xf numFmtId="0" fontId="17" fillId="0" borderId="14" xfId="0" applyFont="1" applyBorder="1" applyAlignment="1">
      <alignment horizontal="left" vertical="center" wrapText="1" indent="1" readingOrder="1"/>
    </xf>
    <xf numFmtId="0" fontId="19" fillId="3" borderId="5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19" fillId="8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20" fillId="7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19" fillId="8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wrapText="1"/>
    </xf>
    <xf numFmtId="0" fontId="18" fillId="0" borderId="12" xfId="0" applyFont="1" applyBorder="1" applyAlignment="1">
      <alignment horizontal="center" vertical="center" wrapText="1" readingOrder="1"/>
    </xf>
    <xf numFmtId="0" fontId="0" fillId="0" borderId="16" xfId="0" applyBorder="1"/>
    <xf numFmtId="0" fontId="2" fillId="3" borderId="5" xfId="0" applyFont="1" applyFill="1" applyBorder="1" applyAlignment="1">
      <alignment horizontal="center"/>
    </xf>
    <xf numFmtId="0" fontId="0" fillId="9" borderId="7" xfId="0" applyFill="1" applyBorder="1"/>
    <xf numFmtId="0" fontId="18" fillId="0" borderId="11" xfId="0" applyFont="1" applyBorder="1" applyAlignment="1">
      <alignment horizontal="left" vertical="center" wrapText="1" indent="1" readingOrder="1"/>
    </xf>
    <xf numFmtId="0" fontId="0" fillId="10" borderId="7" xfId="0" applyFill="1" applyBorder="1"/>
    <xf numFmtId="0" fontId="0" fillId="0" borderId="0" xfId="0" applyAlignment="1">
      <alignment vertical="center" wrapText="1"/>
    </xf>
    <xf numFmtId="0" fontId="0" fillId="11" borderId="7" xfId="0" applyFill="1" applyBorder="1"/>
    <xf numFmtId="0" fontId="0" fillId="12" borderId="7" xfId="0" applyFill="1" applyBorder="1"/>
    <xf numFmtId="0" fontId="0" fillId="13" borderId="7" xfId="0" applyFill="1" applyBorder="1"/>
    <xf numFmtId="0" fontId="0" fillId="14" borderId="7" xfId="0" applyFill="1" applyBorder="1"/>
    <xf numFmtId="0" fontId="21" fillId="0" borderId="17" xfId="1" applyBorder="1" applyAlignment="1">
      <alignment wrapText="1"/>
    </xf>
    <xf numFmtId="0" fontId="21" fillId="0" borderId="16" xfId="1" applyBorder="1"/>
    <xf numFmtId="0" fontId="21" fillId="0" borderId="0" xfId="1"/>
    <xf numFmtId="0" fontId="18" fillId="0" borderId="12" xfId="0" applyFont="1" applyFill="1" applyBorder="1" applyAlignment="1">
      <alignment horizontal="left" vertical="center" wrapText="1" indent="1" readingOrder="1"/>
    </xf>
    <xf numFmtId="0" fontId="17" fillId="0" borderId="9" xfId="0" applyFont="1" applyFill="1" applyBorder="1" applyAlignment="1">
      <alignment horizontal="left" vertical="center" wrapText="1" indent="1" readingOrder="1"/>
    </xf>
    <xf numFmtId="0" fontId="9" fillId="2" borderId="6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0" borderId="9" xfId="0" applyFont="1" applyBorder="1"/>
    <xf numFmtId="0" fontId="0" fillId="2" borderId="6" xfId="0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 readingOrder="1"/>
    </xf>
    <xf numFmtId="0" fontId="18" fillId="0" borderId="12" xfId="0" applyFont="1" applyBorder="1" applyAlignment="1">
      <alignment horizontal="center" vertical="center" wrapText="1" readingOrder="1"/>
    </xf>
    <xf numFmtId="0" fontId="18" fillId="0" borderId="13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/>
    </xf>
    <xf numFmtId="0" fontId="9" fillId="4" borderId="16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4" xfId="0" applyFont="1" applyBorder="1"/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7" fillId="0" borderId="16" xfId="0" applyFont="1" applyBorder="1"/>
    <xf numFmtId="0" fontId="9" fillId="2" borderId="16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15" borderId="3" xfId="0" applyFill="1" applyBorder="1"/>
    <xf numFmtId="0" fontId="5" fillId="15" borderId="2" xfId="0" applyFont="1" applyFill="1" applyBorder="1"/>
    <xf numFmtId="0" fontId="5" fillId="15" borderId="2" xfId="0" applyFont="1" applyFill="1" applyBorder="1" applyAlignment="1">
      <alignment horizontal="center"/>
    </xf>
    <xf numFmtId="0" fontId="19" fillId="15" borderId="2" xfId="0" applyFon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0" fillId="16" borderId="3" xfId="0" applyFill="1" applyBorder="1"/>
    <xf numFmtId="0" fontId="5" fillId="16" borderId="2" xfId="0" applyFont="1" applyFill="1" applyBorder="1"/>
    <xf numFmtId="0" fontId="5" fillId="16" borderId="2" xfId="0" applyFont="1" applyFill="1" applyBorder="1" applyAlignment="1">
      <alignment horizontal="center"/>
    </xf>
    <xf numFmtId="0" fontId="19" fillId="16" borderId="2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10" fillId="16" borderId="2" xfId="0" applyFont="1" applyFill="1" applyBorder="1" applyAlignment="1">
      <alignment horizontal="center"/>
    </xf>
    <xf numFmtId="0" fontId="3" fillId="17" borderId="3" xfId="0" applyFont="1" applyFill="1" applyBorder="1"/>
    <xf numFmtId="0" fontId="19" fillId="17" borderId="2" xfId="0" applyFont="1" applyFill="1" applyBorder="1"/>
    <xf numFmtId="0" fontId="19" fillId="17" borderId="2" xfId="0" applyFon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20" fillId="17" borderId="2" xfId="0" applyFont="1" applyFill="1" applyBorder="1" applyAlignment="1">
      <alignment horizontal="center"/>
    </xf>
    <xf numFmtId="0" fontId="5" fillId="17" borderId="2" xfId="0" applyFont="1" applyFill="1" applyBorder="1"/>
    <xf numFmtId="0" fontId="5" fillId="17" borderId="2" xfId="0" applyFont="1" applyFill="1" applyBorder="1" applyAlignment="1">
      <alignment horizontal="center"/>
    </xf>
    <xf numFmtId="0" fontId="1" fillId="16" borderId="3" xfId="0" applyFont="1" applyFill="1" applyBorder="1"/>
    <xf numFmtId="0" fontId="1" fillId="17" borderId="3" xfId="0" applyFont="1" applyFill="1" applyBorder="1"/>
    <xf numFmtId="0" fontId="1" fillId="8" borderId="3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FC1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bservatorioecuadordigital.mintel.gob.ec/wp-content/uploads/2023/01/CITEC-Situacion-del-E-Commerce-en-Ecuador.pdf" TargetMode="External"/><Relationship Id="rId13" Type="http://schemas.openxmlformats.org/officeDocument/2006/relationships/hyperlink" Target="https://dialnet.unirioja.es/descarga/articulo/10264957.pdf" TargetMode="External"/><Relationship Id="rId18" Type="http://schemas.openxmlformats.org/officeDocument/2006/relationships/hyperlink" Target="https://www.alainet.org/publica/diversidad/movambiental.html" TargetMode="External"/><Relationship Id="rId3" Type="http://schemas.openxmlformats.org/officeDocument/2006/relationships/hyperlink" Target="https://www.elcomercio.com/actualidad/politica/inversion-publica-ecuador-bajas-ultimos-anos/" TargetMode="External"/><Relationship Id="rId21" Type="http://schemas.openxmlformats.org/officeDocument/2006/relationships/hyperlink" Target="https://www.ces.gob.ec/lotaip/2020/Junio/Literal_a2/C%C3%B3digo%20del%20Trabajo.pdf" TargetMode="External"/><Relationship Id="rId7" Type="http://schemas.openxmlformats.org/officeDocument/2006/relationships/hyperlink" Target="https://www.mapfreglobalrisks.com/gerencia-riesgos-seguros/articulos/grandes-ciudades-grandes-riesgos-quito/" TargetMode="External"/><Relationship Id="rId12" Type="http://schemas.openxmlformats.org/officeDocument/2006/relationships/hyperlink" Target="https://dialnet.unirioja.es/descarga/articulo/9698312.pdf" TargetMode="External"/><Relationship Id="rId17" Type="http://schemas.openxmlformats.org/officeDocument/2006/relationships/hyperlink" Target="https://cdsa.aacademica.org/000-030/1516.pdf" TargetMode="External"/><Relationship Id="rId2" Type="http://schemas.openxmlformats.org/officeDocument/2006/relationships/hyperlink" Target="https://www.agricultura.gob.ec/correcta-manipulacion-de-alimentos-evita-contagio-de-enfermedades/" TargetMode="External"/><Relationship Id="rId16" Type="http://schemas.openxmlformats.org/officeDocument/2006/relationships/hyperlink" Target="https://recobaq.com/quito-y-el-reto-del-reciclaje/" TargetMode="External"/><Relationship Id="rId20" Type="http://schemas.openxmlformats.org/officeDocument/2006/relationships/hyperlink" Target="https://www.controlsanitario.gob.ec/certificado-de-manipulacion-de-alimentos-no-es-requisito-previo-para-tramites-de-arcsa/" TargetMode="External"/><Relationship Id="rId1" Type="http://schemas.openxmlformats.org/officeDocument/2006/relationships/hyperlink" Target="https://www.gob.ec/mdg/tramites/emision-permisos-funcionamiento-establecimientos-categoria-45-7-locales-consumo-alimentos-preparados-centros-entretenimiento-venta-bebidas-alcoholicas-supermercado-bodegas" TargetMode="External"/><Relationship Id="rId6" Type="http://schemas.openxmlformats.org/officeDocument/2006/relationships/hyperlink" Target="https://www.ecuadorencifras.gob.ec/empleo-en-el-sector-informal/" TargetMode="External"/><Relationship Id="rId11" Type="http://schemas.openxmlformats.org/officeDocument/2006/relationships/hyperlink" Target="https://imagineloagencia.com/ec/desarrollo-apps" TargetMode="External"/><Relationship Id="rId5" Type="http://schemas.openxmlformats.org/officeDocument/2006/relationships/hyperlink" Target="https://scioteca.caf.com/bitstream/handle/123456789/2132/CAF_PYMES_ECUADOR.pdf" TargetMode="External"/><Relationship Id="rId15" Type="http://schemas.openxmlformats.org/officeDocument/2006/relationships/hyperlink" Target="https://www.proecuador.gob.ec/estudio-revela-importantes-hallazgos-sobre-el-consumo-de-productos-naturales-y-organicos/" TargetMode="External"/><Relationship Id="rId10" Type="http://schemas.openxmlformats.org/officeDocument/2006/relationships/hyperlink" Target="https://www.quitoinforma.gob.ec/2025/03/27/estudio-revela-que-quito-tiene-una-fuerza-laboral-dinamica-y-mayor-acceso-al-empleo-formal/" TargetMode="External"/><Relationship Id="rId19" Type="http://schemas.openxmlformats.org/officeDocument/2006/relationships/hyperlink" Target="https://www.controlsanitario.gob.ec/wp-content/uploads/downloads/2013/11/REGLAMENTO-DE-REGISTRO-Y-CONTROL-SANITARIO-DE-ALIMENTOS.pdf" TargetMode="External"/><Relationship Id="rId4" Type="http://schemas.openxmlformats.org/officeDocument/2006/relationships/hyperlink" Target="https://www.ecuadorencifras.gob.ec/canasta/" TargetMode="External"/><Relationship Id="rId9" Type="http://schemas.openxmlformats.org/officeDocument/2006/relationships/hyperlink" Target="https://www.quitoinforma.gob.ec/2025/03/24/quito-lidera-el-camino-hacia-una-ciudad-saludable/" TargetMode="External"/><Relationship Id="rId14" Type="http://schemas.openxmlformats.org/officeDocument/2006/relationships/hyperlink" Target="https://www.telecomunicaciones.gob.ec/wp-content/uploads/2021/05/20210218_Impacto-de-5G-en-Industrias-Ecuador-Rev-F-1.pdf" TargetMode="External"/><Relationship Id="rId22" Type="http://schemas.openxmlformats.org/officeDocument/2006/relationships/hyperlink" Target="https://www.proecuador.gob.ec/incentivo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E49B-DCDE-4D23-84E6-8360AB6FA098}">
  <dimension ref="B1:H966"/>
  <sheetViews>
    <sheetView zoomScaleNormal="100" workbookViewId="0">
      <pane xSplit="5" ySplit="1" topLeftCell="F24" activePane="bottomRight" state="frozen"/>
      <selection pane="topRight" activeCell="F1" sqref="F1"/>
      <selection pane="bottomLeft" activeCell="A4" sqref="A4"/>
      <selection pane="bottomRight" activeCell="F80" sqref="F80"/>
    </sheetView>
  </sheetViews>
  <sheetFormatPr baseColWidth="10" defaultColWidth="14.42578125" defaultRowHeight="15" customHeight="1" x14ac:dyDescent="0.25"/>
  <cols>
    <col min="1" max="1" width="3.5703125" customWidth="1"/>
    <col min="2" max="2" width="10.7109375" customWidth="1"/>
    <col min="3" max="3" width="13.42578125" customWidth="1"/>
    <col min="4" max="4" width="5.7109375" customWidth="1"/>
    <col min="5" max="5" width="59.42578125" customWidth="1"/>
    <col min="6" max="6" width="12.140625" customWidth="1"/>
    <col min="7" max="7" width="13.85546875" customWidth="1"/>
    <col min="8" max="8" width="5.85546875" customWidth="1"/>
    <col min="9" max="9" width="10.7109375" customWidth="1"/>
    <col min="10" max="10" width="11.7109375" customWidth="1"/>
    <col min="11" max="25" width="10.7109375" customWidth="1"/>
  </cols>
  <sheetData>
    <row r="1" spans="2:8" ht="14.25" customHeight="1" x14ac:dyDescent="0.25">
      <c r="B1" s="75" t="s">
        <v>10</v>
      </c>
      <c r="C1" s="78" t="s">
        <v>11</v>
      </c>
      <c r="D1" s="17" t="s">
        <v>12</v>
      </c>
      <c r="E1" s="17" t="s">
        <v>13</v>
      </c>
    </row>
    <row r="2" spans="2:8" ht="14.25" customHeight="1" x14ac:dyDescent="0.25">
      <c r="B2" s="76"/>
      <c r="C2" s="76"/>
      <c r="D2" s="62" t="s">
        <v>15</v>
      </c>
      <c r="E2" s="62" t="s">
        <v>53</v>
      </c>
    </row>
    <row r="3" spans="2:8" ht="14.25" customHeight="1" x14ac:dyDescent="0.25">
      <c r="B3" s="76"/>
      <c r="C3" s="76"/>
      <c r="D3" s="17" t="s">
        <v>17</v>
      </c>
      <c r="E3" s="17" t="s">
        <v>54</v>
      </c>
    </row>
    <row r="4" spans="2:8" ht="15" customHeight="1" x14ac:dyDescent="0.25">
      <c r="B4" s="76"/>
      <c r="C4" s="76"/>
      <c r="D4" s="17" t="s">
        <v>19</v>
      </c>
      <c r="E4" s="17" t="s">
        <v>20</v>
      </c>
    </row>
    <row r="5" spans="2:8" ht="15" customHeight="1" x14ac:dyDescent="0.25">
      <c r="B5" s="76"/>
      <c r="C5" s="76"/>
      <c r="D5" s="17" t="s">
        <v>55</v>
      </c>
      <c r="E5" s="17" t="s">
        <v>56</v>
      </c>
    </row>
    <row r="6" spans="2:8" ht="15" customHeight="1" x14ac:dyDescent="0.25">
      <c r="B6" s="76"/>
      <c r="C6" s="76"/>
      <c r="D6" s="62" t="s">
        <v>57</v>
      </c>
      <c r="E6" s="62" t="s">
        <v>16</v>
      </c>
    </row>
    <row r="7" spans="2:8" ht="15" customHeight="1" x14ac:dyDescent="0.25">
      <c r="B7" s="76"/>
      <c r="C7" s="76"/>
      <c r="D7" s="17" t="s">
        <v>58</v>
      </c>
      <c r="E7" s="17" t="s">
        <v>59</v>
      </c>
    </row>
    <row r="8" spans="2:8" ht="15" customHeight="1" x14ac:dyDescent="0.25">
      <c r="B8" s="76"/>
      <c r="C8" s="76"/>
      <c r="D8" s="17" t="s">
        <v>60</v>
      </c>
      <c r="E8" s="17" t="s">
        <v>61</v>
      </c>
    </row>
    <row r="9" spans="2:8" ht="15" customHeight="1" x14ac:dyDescent="0.25">
      <c r="B9" s="76"/>
      <c r="C9" s="76"/>
      <c r="D9" s="17" t="s">
        <v>62</v>
      </c>
      <c r="E9" s="17" t="s">
        <v>63</v>
      </c>
    </row>
    <row r="10" spans="2:8" ht="15" customHeight="1" x14ac:dyDescent="0.25">
      <c r="B10" s="76"/>
      <c r="C10" s="76"/>
      <c r="D10" s="17" t="s">
        <v>64</v>
      </c>
      <c r="E10" s="17" t="s">
        <v>18</v>
      </c>
    </row>
    <row r="11" spans="2:8" ht="15" customHeight="1" x14ac:dyDescent="0.25">
      <c r="B11" s="76"/>
      <c r="C11" s="76"/>
      <c r="D11" s="62" t="s">
        <v>65</v>
      </c>
      <c r="E11" s="62" t="s">
        <v>66</v>
      </c>
    </row>
    <row r="12" spans="2:8" ht="15" customHeight="1" x14ac:dyDescent="0.25">
      <c r="B12" s="76"/>
      <c r="C12" s="76"/>
      <c r="D12" s="62" t="s">
        <v>67</v>
      </c>
      <c r="E12" s="62" t="s">
        <v>68</v>
      </c>
    </row>
    <row r="13" spans="2:8" ht="15" customHeight="1" x14ac:dyDescent="0.25">
      <c r="B13" s="76"/>
      <c r="C13" s="76"/>
      <c r="D13" s="17" t="s">
        <v>69</v>
      </c>
      <c r="E13" s="17" t="s">
        <v>70</v>
      </c>
    </row>
    <row r="14" spans="2:8" ht="15" customHeight="1" x14ac:dyDescent="0.25">
      <c r="B14" s="76"/>
      <c r="C14" s="76"/>
      <c r="D14" s="17" t="s">
        <v>71</v>
      </c>
      <c r="E14" s="17" t="s">
        <v>72</v>
      </c>
    </row>
    <row r="15" spans="2:8" ht="15" customHeight="1" x14ac:dyDescent="0.25">
      <c r="B15" s="77"/>
      <c r="C15" s="77"/>
      <c r="D15" s="17" t="s">
        <v>73</v>
      </c>
      <c r="E15" s="17" t="s">
        <v>74</v>
      </c>
    </row>
    <row r="16" spans="2:8" ht="14.25" customHeight="1" x14ac:dyDescent="0.25">
      <c r="B16" s="83" t="s">
        <v>21</v>
      </c>
      <c r="C16" s="84" t="s">
        <v>22</v>
      </c>
      <c r="D16" s="18" t="s">
        <v>23</v>
      </c>
      <c r="E16" s="18" t="s">
        <v>75</v>
      </c>
      <c r="H16" s="19"/>
    </row>
    <row r="17" spans="2:5" ht="14.25" customHeight="1" x14ac:dyDescent="0.25">
      <c r="B17" s="76"/>
      <c r="C17" s="76"/>
      <c r="D17" s="64" t="s">
        <v>24</v>
      </c>
      <c r="E17" s="64" t="s">
        <v>76</v>
      </c>
    </row>
    <row r="18" spans="2:5" ht="14.25" customHeight="1" x14ac:dyDescent="0.25">
      <c r="B18" s="76"/>
      <c r="C18" s="76"/>
      <c r="D18" s="18" t="s">
        <v>25</v>
      </c>
      <c r="E18" s="18" t="s">
        <v>77</v>
      </c>
    </row>
    <row r="19" spans="2:5" ht="15" customHeight="1" x14ac:dyDescent="0.25">
      <c r="B19" s="76"/>
      <c r="C19" s="76"/>
      <c r="D19" s="64" t="s">
        <v>26</v>
      </c>
      <c r="E19" s="64" t="s">
        <v>78</v>
      </c>
    </row>
    <row r="20" spans="2:5" ht="15" customHeight="1" x14ac:dyDescent="0.25">
      <c r="B20" s="76"/>
      <c r="C20" s="76"/>
      <c r="D20" s="64" t="s">
        <v>79</v>
      </c>
      <c r="E20" s="64" t="s">
        <v>80</v>
      </c>
    </row>
    <row r="21" spans="2:5" ht="15" customHeight="1" x14ac:dyDescent="0.25">
      <c r="B21" s="76"/>
      <c r="C21" s="76"/>
      <c r="D21" s="18" t="s">
        <v>27</v>
      </c>
      <c r="E21" s="18" t="s">
        <v>81</v>
      </c>
    </row>
    <row r="22" spans="2:5" ht="15" customHeight="1" x14ac:dyDescent="0.25">
      <c r="B22" s="76"/>
      <c r="C22" s="76"/>
      <c r="D22" s="18" t="s">
        <v>82</v>
      </c>
      <c r="E22" s="18" t="s">
        <v>83</v>
      </c>
    </row>
    <row r="23" spans="2:5" ht="15" customHeight="1" x14ac:dyDescent="0.25">
      <c r="B23" s="76"/>
      <c r="C23" s="76"/>
      <c r="D23" s="18" t="s">
        <v>84</v>
      </c>
      <c r="E23" s="18" t="s">
        <v>85</v>
      </c>
    </row>
    <row r="24" spans="2:5" ht="15" customHeight="1" x14ac:dyDescent="0.25">
      <c r="B24" s="76"/>
      <c r="C24" s="76"/>
      <c r="D24" s="18" t="s">
        <v>86</v>
      </c>
      <c r="E24" s="18" t="s">
        <v>87</v>
      </c>
    </row>
    <row r="25" spans="2:5" ht="15" customHeight="1" x14ac:dyDescent="0.25">
      <c r="B25" s="76"/>
      <c r="C25" s="76"/>
      <c r="D25" s="64" t="s">
        <v>88</v>
      </c>
      <c r="E25" s="64" t="s">
        <v>89</v>
      </c>
    </row>
    <row r="26" spans="2:5" ht="15" customHeight="1" x14ac:dyDescent="0.25">
      <c r="B26" s="76"/>
      <c r="C26" s="76"/>
      <c r="D26" s="18" t="s">
        <v>90</v>
      </c>
      <c r="E26" s="18" t="s">
        <v>91</v>
      </c>
    </row>
    <row r="27" spans="2:5" ht="15" customHeight="1" x14ac:dyDescent="0.25">
      <c r="B27" s="76"/>
      <c r="C27" s="76"/>
      <c r="D27" s="18" t="s">
        <v>92</v>
      </c>
      <c r="E27" s="18" t="s">
        <v>93</v>
      </c>
    </row>
    <row r="28" spans="2:5" ht="15" customHeight="1" x14ac:dyDescent="0.25">
      <c r="B28" s="76"/>
      <c r="C28" s="76"/>
      <c r="D28" s="18" t="s">
        <v>94</v>
      </c>
      <c r="E28" s="18" t="s">
        <v>95</v>
      </c>
    </row>
    <row r="29" spans="2:5" ht="15" customHeight="1" x14ac:dyDescent="0.25">
      <c r="B29" s="76"/>
      <c r="C29" s="76"/>
      <c r="D29" s="18" t="s">
        <v>96</v>
      </c>
      <c r="E29" s="18" t="s">
        <v>97</v>
      </c>
    </row>
    <row r="30" spans="2:5" ht="15" customHeight="1" x14ac:dyDescent="0.25">
      <c r="B30" s="76"/>
      <c r="C30" s="76"/>
      <c r="D30" s="18" t="s">
        <v>98</v>
      </c>
      <c r="E30" s="18" t="s">
        <v>99</v>
      </c>
    </row>
    <row r="31" spans="2:5" ht="15" customHeight="1" x14ac:dyDescent="0.25">
      <c r="B31" s="76"/>
      <c r="C31" s="76"/>
      <c r="D31" s="18" t="s">
        <v>100</v>
      </c>
      <c r="E31" s="18" t="s">
        <v>101</v>
      </c>
    </row>
    <row r="32" spans="2:5" ht="15" customHeight="1" x14ac:dyDescent="0.25">
      <c r="B32" s="76"/>
      <c r="C32" s="76"/>
      <c r="D32" s="18" t="s">
        <v>102</v>
      </c>
      <c r="E32" s="18" t="s">
        <v>103</v>
      </c>
    </row>
    <row r="33" spans="2:8" ht="15" customHeight="1" x14ac:dyDescent="0.25">
      <c r="B33" s="76"/>
      <c r="C33" s="76"/>
      <c r="D33" s="18" t="s">
        <v>104</v>
      </c>
      <c r="E33" s="18" t="s">
        <v>105</v>
      </c>
    </row>
    <row r="34" spans="2:8" ht="15" customHeight="1" x14ac:dyDescent="0.25">
      <c r="B34" s="76"/>
      <c r="C34" s="76"/>
      <c r="D34" s="18" t="s">
        <v>106</v>
      </c>
      <c r="E34" s="18" t="s">
        <v>107</v>
      </c>
    </row>
    <row r="35" spans="2:8" ht="15" customHeight="1" x14ac:dyDescent="0.25">
      <c r="B35" s="76"/>
      <c r="C35" s="76"/>
      <c r="D35" s="18" t="s">
        <v>108</v>
      </c>
      <c r="E35" s="18" t="s">
        <v>109</v>
      </c>
    </row>
    <row r="36" spans="2:8" ht="15" customHeight="1" x14ac:dyDescent="0.25">
      <c r="B36" s="77"/>
      <c r="C36" s="77"/>
      <c r="D36" s="18" t="s">
        <v>110</v>
      </c>
      <c r="E36" s="18" t="s">
        <v>111</v>
      </c>
    </row>
    <row r="37" spans="2:8" ht="14.25" customHeight="1" x14ac:dyDescent="0.25">
      <c r="B37" s="85" t="s">
        <v>28</v>
      </c>
      <c r="C37" s="86" t="s">
        <v>29</v>
      </c>
      <c r="D37" s="20" t="s">
        <v>30</v>
      </c>
      <c r="E37" s="20" t="s">
        <v>112</v>
      </c>
      <c r="H37" s="19"/>
    </row>
    <row r="38" spans="2:8" ht="14.25" customHeight="1" x14ac:dyDescent="0.25">
      <c r="B38" s="76"/>
      <c r="C38" s="76"/>
      <c r="D38" s="20" t="s">
        <v>31</v>
      </c>
      <c r="E38" s="20" t="s">
        <v>113</v>
      </c>
    </row>
    <row r="39" spans="2:8" ht="14.25" customHeight="1" x14ac:dyDescent="0.25">
      <c r="B39" s="76"/>
      <c r="C39" s="76"/>
      <c r="D39" s="20" t="s">
        <v>32</v>
      </c>
      <c r="E39" s="20" t="s">
        <v>114</v>
      </c>
    </row>
    <row r="40" spans="2:8" ht="14.25" customHeight="1" x14ac:dyDescent="0.25">
      <c r="B40" s="76"/>
      <c r="C40" s="76"/>
      <c r="D40" s="20" t="s">
        <v>33</v>
      </c>
      <c r="E40" s="20" t="s">
        <v>115</v>
      </c>
    </row>
    <row r="41" spans="2:8" ht="14.25" customHeight="1" x14ac:dyDescent="0.25">
      <c r="B41" s="76"/>
      <c r="C41" s="76"/>
      <c r="D41" s="20" t="s">
        <v>35</v>
      </c>
      <c r="E41" s="20" t="s">
        <v>34</v>
      </c>
    </row>
    <row r="42" spans="2:8" ht="14.25" customHeight="1" x14ac:dyDescent="0.25">
      <c r="B42" s="76"/>
      <c r="C42" s="76"/>
      <c r="D42" s="66" t="s">
        <v>36</v>
      </c>
      <c r="E42" s="66" t="s">
        <v>227</v>
      </c>
    </row>
    <row r="43" spans="2:8" ht="14.25" customHeight="1" x14ac:dyDescent="0.25">
      <c r="B43" s="76"/>
      <c r="C43" s="76"/>
      <c r="D43" s="20" t="s">
        <v>37</v>
      </c>
      <c r="E43" s="20" t="s">
        <v>116</v>
      </c>
    </row>
    <row r="44" spans="2:8" ht="14.25" customHeight="1" x14ac:dyDescent="0.25">
      <c r="B44" s="76"/>
      <c r="C44" s="76"/>
      <c r="D44" s="20" t="s">
        <v>38</v>
      </c>
      <c r="E44" s="20" t="s">
        <v>117</v>
      </c>
    </row>
    <row r="45" spans="2:8" ht="14.25" customHeight="1" x14ac:dyDescent="0.25">
      <c r="B45" s="76"/>
      <c r="C45" s="76"/>
      <c r="D45" s="20" t="s">
        <v>118</v>
      </c>
      <c r="E45" s="20" t="s">
        <v>119</v>
      </c>
    </row>
    <row r="46" spans="2:8" ht="14.25" customHeight="1" x14ac:dyDescent="0.25">
      <c r="B46" s="76"/>
      <c r="C46" s="76"/>
      <c r="D46" s="20" t="s">
        <v>120</v>
      </c>
      <c r="E46" s="20" t="s">
        <v>121</v>
      </c>
    </row>
    <row r="47" spans="2:8" ht="14.25" customHeight="1" x14ac:dyDescent="0.25">
      <c r="B47" s="76"/>
      <c r="C47" s="76"/>
      <c r="D47" s="66" t="s">
        <v>122</v>
      </c>
      <c r="E47" s="66" t="s">
        <v>123</v>
      </c>
    </row>
    <row r="48" spans="2:8" ht="14.25" customHeight="1" x14ac:dyDescent="0.25">
      <c r="B48" s="76"/>
      <c r="C48" s="76"/>
      <c r="D48" s="66" t="s">
        <v>124</v>
      </c>
      <c r="E48" s="66" t="s">
        <v>125</v>
      </c>
    </row>
    <row r="49" spans="2:5" ht="14.25" customHeight="1" x14ac:dyDescent="0.25">
      <c r="B49" s="76"/>
      <c r="C49" s="76"/>
      <c r="D49" s="20" t="s">
        <v>126</v>
      </c>
      <c r="E49" s="20" t="s">
        <v>127</v>
      </c>
    </row>
    <row r="50" spans="2:5" ht="14.25" customHeight="1" x14ac:dyDescent="0.25">
      <c r="B50" s="76"/>
      <c r="C50" s="76"/>
      <c r="D50" s="20" t="s">
        <v>128</v>
      </c>
      <c r="E50" s="20" t="s">
        <v>129</v>
      </c>
    </row>
    <row r="51" spans="2:5" ht="14.25" customHeight="1" x14ac:dyDescent="0.25">
      <c r="B51" s="76"/>
      <c r="C51" s="76"/>
      <c r="D51" s="20" t="s">
        <v>130</v>
      </c>
      <c r="E51" s="20" t="s">
        <v>131</v>
      </c>
    </row>
    <row r="52" spans="2:5" ht="14.25" customHeight="1" x14ac:dyDescent="0.25">
      <c r="B52" s="76"/>
      <c r="C52" s="76"/>
      <c r="D52" s="20" t="s">
        <v>132</v>
      </c>
      <c r="E52" s="20" t="s">
        <v>133</v>
      </c>
    </row>
    <row r="53" spans="2:5" ht="14.25" customHeight="1" x14ac:dyDescent="0.25">
      <c r="B53" s="76"/>
      <c r="C53" s="76"/>
      <c r="D53" s="20" t="s">
        <v>134</v>
      </c>
      <c r="E53" s="20" t="s">
        <v>135</v>
      </c>
    </row>
    <row r="54" spans="2:5" ht="14.25" customHeight="1" x14ac:dyDescent="0.25">
      <c r="B54" s="76"/>
      <c r="C54" s="76"/>
      <c r="D54" s="20" t="s">
        <v>136</v>
      </c>
      <c r="E54" s="20" t="s">
        <v>137</v>
      </c>
    </row>
    <row r="55" spans="2:5" ht="14.25" customHeight="1" x14ac:dyDescent="0.25">
      <c r="B55" s="76"/>
      <c r="C55" s="76"/>
      <c r="D55" s="20" t="s">
        <v>138</v>
      </c>
      <c r="E55" s="20" t="s">
        <v>139</v>
      </c>
    </row>
    <row r="56" spans="2:5" ht="14.25" customHeight="1" x14ac:dyDescent="0.25">
      <c r="B56" s="76"/>
      <c r="C56" s="76"/>
      <c r="D56" s="20" t="s">
        <v>140</v>
      </c>
      <c r="E56" s="20" t="s">
        <v>141</v>
      </c>
    </row>
    <row r="57" spans="2:5" ht="14.25" customHeight="1" x14ac:dyDescent="0.25">
      <c r="B57" s="76"/>
      <c r="C57" s="76"/>
      <c r="D57" s="66" t="s">
        <v>142</v>
      </c>
      <c r="E57" s="66" t="s">
        <v>143</v>
      </c>
    </row>
    <row r="58" spans="2:5" ht="14.25" customHeight="1" x14ac:dyDescent="0.25">
      <c r="B58" s="76"/>
      <c r="C58" s="76"/>
      <c r="D58" s="20" t="s">
        <v>144</v>
      </c>
      <c r="E58" s="20" t="s">
        <v>145</v>
      </c>
    </row>
    <row r="59" spans="2:5" ht="14.25" customHeight="1" x14ac:dyDescent="0.25">
      <c r="B59" s="76"/>
      <c r="C59" s="76"/>
      <c r="D59" s="20" t="s">
        <v>146</v>
      </c>
      <c r="E59" s="20" t="s">
        <v>147</v>
      </c>
    </row>
    <row r="60" spans="2:5" ht="14.25" customHeight="1" x14ac:dyDescent="0.25">
      <c r="B60" s="77"/>
      <c r="C60" s="77"/>
      <c r="D60" s="20" t="s">
        <v>148</v>
      </c>
      <c r="E60" s="20" t="s">
        <v>149</v>
      </c>
    </row>
    <row r="61" spans="2:5" ht="14.25" customHeight="1" x14ac:dyDescent="0.25">
      <c r="B61" s="87" t="s">
        <v>39</v>
      </c>
      <c r="C61" s="88" t="s">
        <v>40</v>
      </c>
      <c r="D61" s="67" t="s">
        <v>41</v>
      </c>
      <c r="E61" s="67" t="s">
        <v>150</v>
      </c>
    </row>
    <row r="62" spans="2:5" ht="14.25" customHeight="1" x14ac:dyDescent="0.25">
      <c r="B62" s="76"/>
      <c r="C62" s="76"/>
      <c r="D62" s="21" t="s">
        <v>42</v>
      </c>
      <c r="E62" s="21" t="s">
        <v>151</v>
      </c>
    </row>
    <row r="63" spans="2:5" ht="14.25" customHeight="1" x14ac:dyDescent="0.25">
      <c r="B63" s="76"/>
      <c r="C63" s="76"/>
      <c r="D63" s="67" t="s">
        <v>43</v>
      </c>
      <c r="E63" s="67" t="s">
        <v>152</v>
      </c>
    </row>
    <row r="64" spans="2:5" ht="14.25" customHeight="1" x14ac:dyDescent="0.25">
      <c r="B64" s="76"/>
      <c r="C64" s="76"/>
      <c r="D64" s="67" t="s">
        <v>44</v>
      </c>
      <c r="E64" s="67" t="s">
        <v>153</v>
      </c>
    </row>
    <row r="65" spans="2:5" ht="14.25" customHeight="1" x14ac:dyDescent="0.25">
      <c r="B65" s="76"/>
      <c r="C65" s="76"/>
      <c r="D65" s="21" t="s">
        <v>41</v>
      </c>
      <c r="E65" s="21" t="s">
        <v>154</v>
      </c>
    </row>
    <row r="66" spans="2:5" ht="14.25" customHeight="1" x14ac:dyDescent="0.25">
      <c r="B66" s="76"/>
      <c r="C66" s="76"/>
      <c r="D66" s="21" t="s">
        <v>42</v>
      </c>
      <c r="E66" s="21" t="s">
        <v>155</v>
      </c>
    </row>
    <row r="67" spans="2:5" ht="14.25" customHeight="1" x14ac:dyDescent="0.25">
      <c r="B67" s="76"/>
      <c r="C67" s="76"/>
      <c r="D67" s="21" t="s">
        <v>43</v>
      </c>
      <c r="E67" s="21" t="s">
        <v>156</v>
      </c>
    </row>
    <row r="68" spans="2:5" ht="14.25" customHeight="1" x14ac:dyDescent="0.25">
      <c r="B68" s="76"/>
      <c r="C68" s="76"/>
      <c r="D68" s="21" t="s">
        <v>44</v>
      </c>
      <c r="E68" s="21" t="s">
        <v>157</v>
      </c>
    </row>
    <row r="69" spans="2:5" ht="14.25" customHeight="1" x14ac:dyDescent="0.25">
      <c r="B69" s="76"/>
      <c r="C69" s="76"/>
      <c r="D69" s="21" t="s">
        <v>41</v>
      </c>
      <c r="E69" s="21" t="s">
        <v>158</v>
      </c>
    </row>
    <row r="70" spans="2:5" ht="14.25" customHeight="1" x14ac:dyDescent="0.25">
      <c r="B70" s="76"/>
      <c r="C70" s="76"/>
      <c r="D70" s="21" t="s">
        <v>42</v>
      </c>
      <c r="E70" s="21" t="s">
        <v>159</v>
      </c>
    </row>
    <row r="71" spans="2:5" ht="14.25" customHeight="1" x14ac:dyDescent="0.25">
      <c r="B71" s="77"/>
      <c r="C71" s="77"/>
      <c r="D71" s="67" t="s">
        <v>43</v>
      </c>
      <c r="E71" s="67" t="s">
        <v>45</v>
      </c>
    </row>
    <row r="72" spans="2:5" ht="14.25" customHeight="1" x14ac:dyDescent="0.25">
      <c r="B72" s="79" t="s">
        <v>21</v>
      </c>
      <c r="C72" s="80" t="s">
        <v>46</v>
      </c>
      <c r="D72" s="68" t="s">
        <v>160</v>
      </c>
      <c r="E72" s="68" t="s">
        <v>161</v>
      </c>
    </row>
    <row r="73" spans="2:5" ht="14.25" customHeight="1" x14ac:dyDescent="0.25">
      <c r="B73" s="76"/>
      <c r="C73" s="76"/>
      <c r="D73" s="22" t="s">
        <v>162</v>
      </c>
      <c r="E73" s="22" t="s">
        <v>163</v>
      </c>
    </row>
    <row r="74" spans="2:5" ht="14.25" customHeight="1" x14ac:dyDescent="0.25">
      <c r="B74" s="76"/>
      <c r="C74" s="76"/>
      <c r="D74" s="22" t="s">
        <v>164</v>
      </c>
      <c r="E74" s="22" t="s">
        <v>165</v>
      </c>
    </row>
    <row r="75" spans="2:5" ht="15" customHeight="1" x14ac:dyDescent="0.25">
      <c r="B75" s="76"/>
      <c r="C75" s="76"/>
      <c r="D75" s="68" t="s">
        <v>166</v>
      </c>
      <c r="E75" s="68" t="s">
        <v>167</v>
      </c>
    </row>
    <row r="76" spans="2:5" ht="15" customHeight="1" x14ac:dyDescent="0.25">
      <c r="B76" s="76"/>
      <c r="C76" s="76"/>
      <c r="D76" s="68" t="s">
        <v>168</v>
      </c>
      <c r="E76" s="68" t="s">
        <v>169</v>
      </c>
    </row>
    <row r="77" spans="2:5" ht="15" customHeight="1" x14ac:dyDescent="0.25">
      <c r="B77" s="76"/>
      <c r="C77" s="76"/>
      <c r="D77" s="22" t="s">
        <v>170</v>
      </c>
      <c r="E77" s="22" t="s">
        <v>171</v>
      </c>
    </row>
    <row r="78" spans="2:5" ht="15" customHeight="1" x14ac:dyDescent="0.25">
      <c r="B78" s="76"/>
      <c r="C78" s="76"/>
      <c r="D78" s="68" t="s">
        <v>172</v>
      </c>
      <c r="E78" s="68" t="s">
        <v>173</v>
      </c>
    </row>
    <row r="79" spans="2:5" ht="15" customHeight="1" x14ac:dyDescent="0.25">
      <c r="B79" s="76"/>
      <c r="C79" s="76"/>
      <c r="D79" s="22" t="s">
        <v>174</v>
      </c>
      <c r="E79" s="22" t="s">
        <v>47</v>
      </c>
    </row>
    <row r="80" spans="2:5" ht="15" customHeight="1" x14ac:dyDescent="0.25">
      <c r="B80" s="76"/>
      <c r="C80" s="76"/>
      <c r="D80" s="22" t="s">
        <v>175</v>
      </c>
      <c r="E80" s="22" t="s">
        <v>176</v>
      </c>
    </row>
    <row r="81" spans="2:5" ht="15" customHeight="1" x14ac:dyDescent="0.25">
      <c r="B81" s="77"/>
      <c r="C81" s="77"/>
      <c r="D81" s="22" t="s">
        <v>177</v>
      </c>
      <c r="E81" s="22" t="s">
        <v>178</v>
      </c>
    </row>
    <row r="82" spans="2:5" ht="14.25" customHeight="1" x14ac:dyDescent="0.25">
      <c r="B82" s="81" t="s">
        <v>48</v>
      </c>
      <c r="C82" s="82" t="s">
        <v>49</v>
      </c>
      <c r="D82" s="23" t="s">
        <v>50</v>
      </c>
      <c r="E82" s="23" t="s">
        <v>179</v>
      </c>
    </row>
    <row r="83" spans="2:5" ht="14.25" customHeight="1" x14ac:dyDescent="0.25">
      <c r="B83" s="76"/>
      <c r="C83" s="76"/>
      <c r="D83" s="23" t="s">
        <v>52</v>
      </c>
      <c r="E83" s="23" t="s">
        <v>180</v>
      </c>
    </row>
    <row r="84" spans="2:5" ht="14.25" customHeight="1" x14ac:dyDescent="0.25">
      <c r="B84" s="76"/>
      <c r="C84" s="76"/>
      <c r="D84" s="23" t="s">
        <v>181</v>
      </c>
      <c r="E84" s="23" t="s">
        <v>51</v>
      </c>
    </row>
    <row r="85" spans="2:5" ht="14.25" customHeight="1" x14ac:dyDescent="0.25">
      <c r="B85" s="76"/>
      <c r="C85" s="76"/>
      <c r="D85" s="69" t="s">
        <v>182</v>
      </c>
      <c r="E85" s="69" t="s">
        <v>183</v>
      </c>
    </row>
    <row r="86" spans="2:5" ht="14.25" customHeight="1" x14ac:dyDescent="0.25">
      <c r="B86" s="76"/>
      <c r="C86" s="76"/>
      <c r="D86" s="23" t="s">
        <v>184</v>
      </c>
      <c r="E86" s="23" t="s">
        <v>185</v>
      </c>
    </row>
    <row r="87" spans="2:5" ht="14.25" customHeight="1" x14ac:dyDescent="0.25">
      <c r="B87" s="76"/>
      <c r="C87" s="76"/>
      <c r="D87" s="23" t="s">
        <v>186</v>
      </c>
      <c r="E87" s="23" t="s">
        <v>187</v>
      </c>
    </row>
    <row r="88" spans="2:5" ht="14.25" customHeight="1" x14ac:dyDescent="0.25">
      <c r="B88" s="76"/>
      <c r="C88" s="76"/>
      <c r="D88" s="69" t="s">
        <v>188</v>
      </c>
      <c r="E88" s="69" t="s">
        <v>189</v>
      </c>
    </row>
    <row r="89" spans="2:5" ht="14.25" customHeight="1" x14ac:dyDescent="0.25">
      <c r="B89" s="76"/>
      <c r="C89" s="76"/>
      <c r="D89" s="69" t="s">
        <v>190</v>
      </c>
      <c r="E89" s="69" t="s">
        <v>191</v>
      </c>
    </row>
    <row r="90" spans="2:5" ht="14.25" customHeight="1" x14ac:dyDescent="0.25">
      <c r="B90" s="76"/>
      <c r="C90" s="76"/>
      <c r="D90" s="23" t="s">
        <v>192</v>
      </c>
      <c r="E90" s="23" t="s">
        <v>193</v>
      </c>
    </row>
    <row r="91" spans="2:5" ht="14.25" customHeight="1" x14ac:dyDescent="0.25">
      <c r="B91" s="77"/>
      <c r="C91" s="77"/>
      <c r="D91" s="69" t="s">
        <v>194</v>
      </c>
      <c r="E91" s="69" t="s">
        <v>195</v>
      </c>
    </row>
    <row r="92" spans="2:5" ht="14.25" customHeight="1" x14ac:dyDescent="0.25"/>
    <row r="93" spans="2:5" ht="14.25" customHeight="1" x14ac:dyDescent="0.25"/>
    <row r="94" spans="2:5" ht="14.25" customHeight="1" x14ac:dyDescent="0.25"/>
    <row r="95" spans="2:5" ht="14.25" customHeight="1" x14ac:dyDescent="0.25"/>
    <row r="96" spans="2:5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</sheetData>
  <mergeCells count="12">
    <mergeCell ref="B1:B15"/>
    <mergeCell ref="C1:C15"/>
    <mergeCell ref="B72:B81"/>
    <mergeCell ref="C72:C81"/>
    <mergeCell ref="B82:B91"/>
    <mergeCell ref="C82:C91"/>
    <mergeCell ref="B16:B36"/>
    <mergeCell ref="C16:C36"/>
    <mergeCell ref="B37:B60"/>
    <mergeCell ref="C37:C60"/>
    <mergeCell ref="B61:B71"/>
    <mergeCell ref="C61:C7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38C4-DEF6-4FD1-B0FA-345FACC2F83A}">
  <dimension ref="A1:F28"/>
  <sheetViews>
    <sheetView zoomScale="70" zoomScaleNormal="70" workbookViewId="0">
      <selection activeCell="B11" sqref="B11"/>
    </sheetView>
  </sheetViews>
  <sheetFormatPr baseColWidth="10" defaultRowHeight="15" x14ac:dyDescent="0.25"/>
  <cols>
    <col min="1" max="1" width="27.140625" customWidth="1"/>
    <col min="2" max="2" width="13.85546875" customWidth="1"/>
    <col min="3" max="3" width="49.85546875" customWidth="1"/>
    <col min="4" max="4" width="16.7109375" customWidth="1"/>
    <col min="5" max="5" width="45.5703125" customWidth="1"/>
    <col min="6" max="6" width="37.5703125" customWidth="1"/>
  </cols>
  <sheetData>
    <row r="1" spans="1:6" ht="15.75" thickBot="1" x14ac:dyDescent="0.3">
      <c r="A1" s="25" t="s">
        <v>199</v>
      </c>
      <c r="B1" s="25" t="s">
        <v>196</v>
      </c>
      <c r="C1" s="25" t="s">
        <v>200</v>
      </c>
      <c r="D1" s="25" t="s">
        <v>0</v>
      </c>
      <c r="E1" s="63" t="s">
        <v>201</v>
      </c>
      <c r="F1" s="59" t="s">
        <v>225</v>
      </c>
    </row>
    <row r="2" spans="1:6" ht="90.75" thickBot="1" x14ac:dyDescent="0.3">
      <c r="A2" s="89" t="s">
        <v>11</v>
      </c>
      <c r="B2" s="26" t="s">
        <v>15</v>
      </c>
      <c r="C2" s="26" t="s">
        <v>231</v>
      </c>
      <c r="D2" s="38" t="s">
        <v>198</v>
      </c>
      <c r="E2" s="40" t="s">
        <v>232</v>
      </c>
      <c r="F2" s="70" t="s">
        <v>264</v>
      </c>
    </row>
    <row r="3" spans="1:6" ht="30.75" thickBot="1" x14ac:dyDescent="0.3">
      <c r="A3" s="90"/>
      <c r="B3" s="26" t="s">
        <v>57</v>
      </c>
      <c r="C3" s="26" t="s">
        <v>229</v>
      </c>
      <c r="D3" s="38" t="s">
        <v>197</v>
      </c>
      <c r="E3" s="40" t="s">
        <v>230</v>
      </c>
      <c r="F3" s="70" t="s">
        <v>274</v>
      </c>
    </row>
    <row r="4" spans="1:6" ht="45.75" thickBot="1" x14ac:dyDescent="0.3">
      <c r="A4" s="90"/>
      <c r="B4" s="26" t="s">
        <v>65</v>
      </c>
      <c r="C4" s="26" t="s">
        <v>266</v>
      </c>
      <c r="D4" s="38" t="s">
        <v>197</v>
      </c>
      <c r="E4" s="32" t="s">
        <v>267</v>
      </c>
      <c r="F4" s="70" t="s">
        <v>268</v>
      </c>
    </row>
    <row r="5" spans="1:6" ht="29.25" thickBot="1" x14ac:dyDescent="0.3">
      <c r="A5" s="90"/>
      <c r="B5" s="26" t="s">
        <v>67</v>
      </c>
      <c r="C5" s="26" t="s">
        <v>234</v>
      </c>
      <c r="D5" s="25" t="s">
        <v>197</v>
      </c>
      <c r="E5" s="26" t="s">
        <v>233</v>
      </c>
      <c r="F5" s="71" t="s">
        <v>265</v>
      </c>
    </row>
    <row r="6" spans="1:6" ht="15.75" thickBot="1" x14ac:dyDescent="0.3">
      <c r="A6" s="91"/>
      <c r="B6" s="26"/>
      <c r="C6" s="26"/>
      <c r="D6" s="25"/>
      <c r="E6" s="26"/>
      <c r="F6" s="60"/>
    </row>
    <row r="7" spans="1:6" ht="29.25" thickBot="1" x14ac:dyDescent="0.3">
      <c r="A7" s="89" t="s">
        <v>22</v>
      </c>
      <c r="B7" s="26" t="s">
        <v>24</v>
      </c>
      <c r="C7" s="26" t="s">
        <v>237</v>
      </c>
      <c r="D7" s="25" t="s">
        <v>198</v>
      </c>
      <c r="E7" s="26" t="s">
        <v>272</v>
      </c>
      <c r="F7" s="71" t="s">
        <v>269</v>
      </c>
    </row>
    <row r="8" spans="1:6" ht="29.25" thickBot="1" x14ac:dyDescent="0.3">
      <c r="A8" s="90"/>
      <c r="B8" s="26" t="s">
        <v>26</v>
      </c>
      <c r="C8" s="65" t="s">
        <v>235</v>
      </c>
      <c r="D8" s="25" t="s">
        <v>197</v>
      </c>
      <c r="E8" s="32" t="s">
        <v>236</v>
      </c>
      <c r="F8" s="72" t="s">
        <v>270</v>
      </c>
    </row>
    <row r="9" spans="1:6" ht="30.75" thickBot="1" x14ac:dyDescent="0.3">
      <c r="A9" s="90"/>
      <c r="B9" s="26" t="s">
        <v>79</v>
      </c>
      <c r="C9" s="65" t="s">
        <v>238</v>
      </c>
      <c r="D9" s="25" t="s">
        <v>198</v>
      </c>
      <c r="E9" s="26" t="s">
        <v>239</v>
      </c>
      <c r="F9" s="71" t="s">
        <v>271</v>
      </c>
    </row>
    <row r="10" spans="1:6" ht="30.75" thickBot="1" x14ac:dyDescent="0.3">
      <c r="A10" s="91"/>
      <c r="B10" s="26" t="s">
        <v>88</v>
      </c>
      <c r="C10" s="65" t="s">
        <v>273</v>
      </c>
      <c r="D10" s="25" t="s">
        <v>197</v>
      </c>
      <c r="E10" s="32" t="s">
        <v>275</v>
      </c>
      <c r="F10" s="72" t="s">
        <v>278</v>
      </c>
    </row>
    <row r="11" spans="1:6" ht="29.25" thickBot="1" x14ac:dyDescent="0.3">
      <c r="A11" s="89" t="s">
        <v>29</v>
      </c>
      <c r="B11" s="26" t="s">
        <v>36</v>
      </c>
      <c r="C11" s="65" t="s">
        <v>276</v>
      </c>
      <c r="D11" s="73" t="s">
        <v>197</v>
      </c>
      <c r="E11" s="74" t="s">
        <v>277</v>
      </c>
      <c r="F11" s="72" t="s">
        <v>279</v>
      </c>
    </row>
    <row r="12" spans="1:6" ht="29.25" thickBot="1" x14ac:dyDescent="0.3">
      <c r="A12" s="90"/>
      <c r="B12" s="26" t="s">
        <v>122</v>
      </c>
      <c r="C12" s="26" t="s">
        <v>242</v>
      </c>
      <c r="D12" s="25" t="s">
        <v>197</v>
      </c>
      <c r="E12" s="26" t="s">
        <v>243</v>
      </c>
      <c r="F12" s="71" t="s">
        <v>280</v>
      </c>
    </row>
    <row r="13" spans="1:6" ht="29.25" thickBot="1" x14ac:dyDescent="0.3">
      <c r="A13" s="90"/>
      <c r="B13" s="26" t="s">
        <v>124</v>
      </c>
      <c r="C13" s="26" t="s">
        <v>240</v>
      </c>
      <c r="D13" s="25" t="s">
        <v>197</v>
      </c>
      <c r="E13" t="s">
        <v>241</v>
      </c>
      <c r="F13" s="71" t="s">
        <v>281</v>
      </c>
    </row>
    <row r="14" spans="1:6" ht="15.75" thickBot="1" x14ac:dyDescent="0.3">
      <c r="A14" s="90"/>
      <c r="B14" s="26" t="s">
        <v>142</v>
      </c>
      <c r="C14" s="26" t="s">
        <v>244</v>
      </c>
      <c r="D14" s="25" t="s">
        <v>197</v>
      </c>
      <c r="E14" s="26" t="s">
        <v>245</v>
      </c>
      <c r="F14" s="60" t="s">
        <v>282</v>
      </c>
    </row>
    <row r="15" spans="1:6" ht="15.75" thickBot="1" x14ac:dyDescent="0.3">
      <c r="A15" s="91"/>
      <c r="B15" s="26"/>
      <c r="C15" s="26"/>
      <c r="D15" s="25"/>
      <c r="F15" s="60"/>
    </row>
    <row r="16" spans="1:6" ht="15.75" thickBot="1" x14ac:dyDescent="0.3">
      <c r="A16" s="89" t="s">
        <v>40</v>
      </c>
      <c r="B16" s="26" t="s">
        <v>41</v>
      </c>
      <c r="C16" t="s">
        <v>246</v>
      </c>
      <c r="D16" s="38" t="s">
        <v>198</v>
      </c>
      <c r="E16" s="40" t="s">
        <v>247</v>
      </c>
      <c r="F16" s="72" t="s">
        <v>283</v>
      </c>
    </row>
    <row r="17" spans="1:6" ht="15.75" thickBot="1" x14ac:dyDescent="0.3">
      <c r="A17" s="90"/>
      <c r="B17" s="26" t="s">
        <v>43</v>
      </c>
      <c r="C17" s="26" t="s">
        <v>248</v>
      </c>
      <c r="D17" s="38" t="s">
        <v>198</v>
      </c>
      <c r="E17" t="s">
        <v>249</v>
      </c>
      <c r="F17" s="71" t="s">
        <v>284</v>
      </c>
    </row>
    <row r="18" spans="1:6" ht="29.25" thickBot="1" x14ac:dyDescent="0.3">
      <c r="A18" s="90"/>
      <c r="B18" s="26" t="s">
        <v>44</v>
      </c>
      <c r="C18" s="26" t="s">
        <v>250</v>
      </c>
      <c r="D18" s="38" t="s">
        <v>197</v>
      </c>
      <c r="E18" s="40" t="s">
        <v>251</v>
      </c>
      <c r="F18" s="71" t="s">
        <v>285</v>
      </c>
    </row>
    <row r="19" spans="1:6" ht="43.5" thickBot="1" x14ac:dyDescent="0.3">
      <c r="A19" s="91"/>
      <c r="B19" s="26" t="s">
        <v>301</v>
      </c>
      <c r="C19" s="26" t="s">
        <v>286</v>
      </c>
      <c r="D19" s="25" t="s">
        <v>197</v>
      </c>
      <c r="E19" s="39" t="s">
        <v>287</v>
      </c>
      <c r="F19" s="71" t="s">
        <v>288</v>
      </c>
    </row>
    <row r="20" spans="1:6" ht="44.25" customHeight="1" thickBot="1" x14ac:dyDescent="0.3">
      <c r="A20" s="89" t="s">
        <v>46</v>
      </c>
      <c r="B20" s="26" t="s">
        <v>23</v>
      </c>
      <c r="C20" t="s">
        <v>254</v>
      </c>
      <c r="D20" s="38" t="s">
        <v>198</v>
      </c>
      <c r="E20" t="s">
        <v>255</v>
      </c>
      <c r="F20" s="72" t="s">
        <v>289</v>
      </c>
    </row>
    <row r="21" spans="1:6" ht="44.25" customHeight="1" thickBot="1" x14ac:dyDescent="0.3">
      <c r="A21" s="90"/>
      <c r="B21" s="26" t="s">
        <v>26</v>
      </c>
      <c r="C21" s="26" t="s">
        <v>252</v>
      </c>
      <c r="D21" s="38" t="s">
        <v>198</v>
      </c>
      <c r="E21" t="s">
        <v>253</v>
      </c>
      <c r="F21" s="72" t="s">
        <v>290</v>
      </c>
    </row>
    <row r="22" spans="1:6" ht="44.25" customHeight="1" thickBot="1" x14ac:dyDescent="0.3">
      <c r="A22" s="90"/>
      <c r="B22" s="26" t="s">
        <v>79</v>
      </c>
      <c r="C22" t="s">
        <v>256</v>
      </c>
      <c r="D22" s="38" t="s">
        <v>198</v>
      </c>
      <c r="E22" t="s">
        <v>257</v>
      </c>
      <c r="F22" s="72" t="s">
        <v>291</v>
      </c>
    </row>
    <row r="23" spans="1:6" ht="44.25" customHeight="1" thickBot="1" x14ac:dyDescent="0.3">
      <c r="A23" s="90"/>
      <c r="B23" s="26" t="s">
        <v>82</v>
      </c>
      <c r="C23" s="26" t="s">
        <v>292</v>
      </c>
      <c r="D23" s="38" t="s">
        <v>198</v>
      </c>
      <c r="E23" s="40" t="s">
        <v>294</v>
      </c>
      <c r="F23" s="71" t="s">
        <v>293</v>
      </c>
    </row>
    <row r="24" spans="1:6" ht="44.25" customHeight="1" thickBot="1" x14ac:dyDescent="0.3">
      <c r="A24" s="90"/>
      <c r="B24" s="26"/>
      <c r="C24" s="26"/>
      <c r="D24" s="38"/>
      <c r="E24" s="40"/>
      <c r="F24" s="60"/>
    </row>
    <row r="25" spans="1:6" ht="15.75" thickBot="1" x14ac:dyDescent="0.3">
      <c r="A25" s="89" t="s">
        <v>49</v>
      </c>
      <c r="B25" s="26" t="s">
        <v>182</v>
      </c>
      <c r="C25" t="s">
        <v>258</v>
      </c>
      <c r="D25" s="38" t="s">
        <v>197</v>
      </c>
      <c r="E25" t="s">
        <v>259</v>
      </c>
      <c r="F25" s="72" t="s">
        <v>295</v>
      </c>
    </row>
    <row r="26" spans="1:6" ht="15.75" thickBot="1" x14ac:dyDescent="0.3">
      <c r="A26" s="90"/>
      <c r="B26" s="26" t="s">
        <v>188</v>
      </c>
      <c r="C26" t="s">
        <v>260</v>
      </c>
      <c r="D26" s="38" t="s">
        <v>197</v>
      </c>
      <c r="E26" t="s">
        <v>261</v>
      </c>
      <c r="F26" s="72" t="s">
        <v>296</v>
      </c>
    </row>
    <row r="27" spans="1:6" ht="15.75" thickBot="1" x14ac:dyDescent="0.3">
      <c r="A27" s="90"/>
      <c r="B27" s="26" t="s">
        <v>190</v>
      </c>
      <c r="C27" t="s">
        <v>262</v>
      </c>
      <c r="D27" s="38" t="s">
        <v>198</v>
      </c>
      <c r="E27" t="s">
        <v>263</v>
      </c>
      <c r="F27" s="72" t="s">
        <v>297</v>
      </c>
    </row>
    <row r="28" spans="1:6" ht="29.25" thickBot="1" x14ac:dyDescent="0.3">
      <c r="A28" s="91"/>
      <c r="B28" s="26" t="s">
        <v>194</v>
      </c>
      <c r="C28" s="26" t="s">
        <v>298</v>
      </c>
      <c r="D28" s="25" t="s">
        <v>197</v>
      </c>
      <c r="E28" s="26" t="s">
        <v>299</v>
      </c>
      <c r="F28" s="71" t="s">
        <v>300</v>
      </c>
    </row>
  </sheetData>
  <mergeCells count="6">
    <mergeCell ref="A20:A24"/>
    <mergeCell ref="A25:A28"/>
    <mergeCell ref="A2:A6"/>
    <mergeCell ref="A7:A10"/>
    <mergeCell ref="A11:A15"/>
    <mergeCell ref="A16:A19"/>
  </mergeCells>
  <hyperlinks>
    <hyperlink ref="F2" r:id="rId1" xr:uid="{B9B0E923-C530-4854-B15F-90B9FDE9031B}"/>
    <hyperlink ref="F5" r:id="rId2" xr:uid="{911121F1-4F26-4DCD-9033-361BBC4E0546}"/>
    <hyperlink ref="F4" r:id="rId3" xr:uid="{AAE4BEF9-6B31-4E9E-9C00-E1DBB4F4654E}"/>
    <hyperlink ref="F7" r:id="rId4" display="https://www.ecuadorencifras.gob.ec/canasta/" xr:uid="{23F81829-6DE3-495B-B791-0DDACB12758C}"/>
    <hyperlink ref="F8" r:id="rId5" display="https://scioteca.caf.com/bitstream/handle/123456789/2132/CAF_PYMES_ECUADOR.pdf" xr:uid="{17AB6E34-6C65-4C76-BB15-45DA74EAAE77}"/>
    <hyperlink ref="F3" r:id="rId6" xr:uid="{B1F76C86-9796-40C3-AACF-94F7B72E481E}"/>
    <hyperlink ref="F10" r:id="rId7" xr:uid="{655C8D5D-FACE-46B6-851D-1DB64DCD5AC2}"/>
    <hyperlink ref="F11" r:id="rId8" xr:uid="{9B4D130E-715A-4D9A-BFC3-426789CF9FE4}"/>
    <hyperlink ref="F12" r:id="rId9" xr:uid="{C9FE3835-5115-4DE6-9481-2C331629D071}"/>
    <hyperlink ref="F13" r:id="rId10" xr:uid="{5831F023-4B70-43AD-B529-698D296A23A9}"/>
    <hyperlink ref="F16" r:id="rId11" xr:uid="{A3D28794-8AE3-4CA8-9359-7EE83F0E49F1}"/>
    <hyperlink ref="F17" r:id="rId12" xr:uid="{701A1368-F60B-43F6-8709-680C606B207A}"/>
    <hyperlink ref="F18" r:id="rId13" xr:uid="{87B1AE0E-EFAD-40A0-9839-25401A0F8890}"/>
    <hyperlink ref="F19" r:id="rId14" xr:uid="{F980E355-2A6D-4E69-A8F4-71C2E39B0032}"/>
    <hyperlink ref="F20" r:id="rId15" xr:uid="{6AEB54F4-A2BB-4A0E-B776-0EC6A0C23B7E}"/>
    <hyperlink ref="F21" r:id="rId16" xr:uid="{4356E839-4635-4065-A205-D29911DDA400}"/>
    <hyperlink ref="F22" r:id="rId17" xr:uid="{85605F5C-0E22-4BC8-A9D1-0F5E50926FF2}"/>
    <hyperlink ref="F23" r:id="rId18" xr:uid="{12E332EE-E9E0-4E24-BDEB-3960D6C81F69}"/>
    <hyperlink ref="F25" r:id="rId19" xr:uid="{D7FDE972-E190-4F3E-983F-6023D5BCFB5F}"/>
    <hyperlink ref="F26" r:id="rId20" xr:uid="{34C1B85D-B41A-4F33-AFB6-50514BB42EFF}"/>
    <hyperlink ref="F27" r:id="rId21" xr:uid="{3BB4A1D5-418B-49A7-AF70-AA7EC410B1CD}"/>
    <hyperlink ref="F28" r:id="rId22" xr:uid="{919BD1D8-A07B-4079-B7C0-44F7BB3419D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71"/>
  <sheetViews>
    <sheetView tabSelected="1" zoomScale="115" zoomScaleNormal="11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29" sqref="D29:I29"/>
    </sheetView>
  </sheetViews>
  <sheetFormatPr baseColWidth="10" defaultColWidth="14.42578125" defaultRowHeight="15" customHeight="1" x14ac:dyDescent="0.25"/>
  <cols>
    <col min="1" max="1" width="3.5703125" customWidth="1"/>
    <col min="2" max="2" width="10.7109375" customWidth="1"/>
    <col min="3" max="3" width="13.42578125" customWidth="1"/>
    <col min="4" max="4" width="5.7109375" customWidth="1"/>
    <col min="5" max="5" width="59.42578125" customWidth="1"/>
    <col min="6" max="6" width="12.140625" customWidth="1"/>
    <col min="7" max="7" width="13.85546875" customWidth="1"/>
    <col min="8" max="8" width="5.85546875" customWidth="1"/>
    <col min="9" max="9" width="10.7109375" customWidth="1"/>
    <col min="10" max="10" width="11.7109375" customWidth="1"/>
    <col min="11" max="25" width="10.7109375" customWidth="1"/>
  </cols>
  <sheetData>
    <row r="1" spans="2:10" ht="20.25" customHeight="1" x14ac:dyDescent="0.3">
      <c r="B1" s="92" t="s">
        <v>226</v>
      </c>
      <c r="C1" s="92"/>
      <c r="D1" s="92"/>
      <c r="E1" s="92"/>
      <c r="F1" s="92"/>
      <c r="G1" s="92"/>
      <c r="H1" s="92"/>
      <c r="I1" s="92"/>
      <c r="J1" s="92"/>
    </row>
    <row r="2" spans="2:10" ht="14.25" customHeight="1" x14ac:dyDescent="0.25">
      <c r="F2" s="1" t="s">
        <v>0</v>
      </c>
      <c r="G2" s="2" t="s">
        <v>1</v>
      </c>
      <c r="H2" s="97" t="s">
        <v>2</v>
      </c>
      <c r="I2" s="99" t="s">
        <v>3</v>
      </c>
      <c r="J2" s="100" t="s">
        <v>4</v>
      </c>
    </row>
    <row r="3" spans="2:10" ht="45.75" customHeight="1" x14ac:dyDescent="0.25">
      <c r="B3" s="101" t="s">
        <v>5</v>
      </c>
      <c r="C3" s="102"/>
      <c r="D3" s="33" t="s">
        <v>6</v>
      </c>
      <c r="E3" s="3" t="s">
        <v>7</v>
      </c>
      <c r="F3" s="4" t="s">
        <v>8</v>
      </c>
      <c r="G3" s="4" t="s">
        <v>9</v>
      </c>
      <c r="H3" s="98"/>
      <c r="I3" s="98"/>
      <c r="J3" s="98"/>
    </row>
    <row r="4" spans="2:10" ht="14.25" customHeight="1" x14ac:dyDescent="0.25">
      <c r="B4" s="103" t="s">
        <v>10</v>
      </c>
      <c r="C4" s="104" t="s">
        <v>11</v>
      </c>
      <c r="D4" s="34" t="s">
        <v>15</v>
      </c>
      <c r="E4" s="5" t="s">
        <v>228</v>
      </c>
      <c r="F4" s="53">
        <v>3</v>
      </c>
      <c r="G4" s="41">
        <v>3</v>
      </c>
      <c r="H4" s="6">
        <f t="shared" ref="H4:H29" si="0">F4*G4</f>
        <v>9</v>
      </c>
      <c r="I4" s="61" t="s">
        <v>14</v>
      </c>
      <c r="J4" s="6"/>
    </row>
    <row r="5" spans="2:10" ht="14.25" customHeight="1" x14ac:dyDescent="0.25">
      <c r="B5" s="102"/>
      <c r="C5" s="102"/>
      <c r="D5" s="34" t="s">
        <v>57</v>
      </c>
      <c r="E5" s="27" t="s">
        <v>211</v>
      </c>
      <c r="F5" s="54">
        <v>2</v>
      </c>
      <c r="G5" s="42">
        <v>3</v>
      </c>
      <c r="H5" s="6">
        <f t="shared" si="0"/>
        <v>6</v>
      </c>
      <c r="I5" s="47" t="s">
        <v>14</v>
      </c>
      <c r="J5" s="8"/>
    </row>
    <row r="6" spans="2:10" ht="14.25" customHeight="1" x14ac:dyDescent="0.25">
      <c r="B6" s="102"/>
      <c r="C6" s="102"/>
      <c r="D6" s="34" t="s">
        <v>65</v>
      </c>
      <c r="E6" s="5" t="s">
        <v>210</v>
      </c>
      <c r="F6" s="53">
        <v>3</v>
      </c>
      <c r="G6" s="42">
        <v>3</v>
      </c>
      <c r="H6" s="6">
        <f t="shared" si="0"/>
        <v>9</v>
      </c>
      <c r="I6" s="47" t="s">
        <v>14</v>
      </c>
      <c r="J6" s="7"/>
    </row>
    <row r="7" spans="2:10" ht="14.25" customHeight="1" x14ac:dyDescent="0.25">
      <c r="B7" s="102"/>
      <c r="C7" s="102"/>
      <c r="D7" s="34" t="s">
        <v>67</v>
      </c>
      <c r="E7" s="27" t="s">
        <v>212</v>
      </c>
      <c r="F7" s="54">
        <v>3</v>
      </c>
      <c r="G7" s="42">
        <v>2</v>
      </c>
      <c r="H7" s="6">
        <f t="shared" si="0"/>
        <v>6</v>
      </c>
      <c r="I7" s="47" t="s">
        <v>14</v>
      </c>
      <c r="J7" s="7"/>
    </row>
    <row r="8" spans="2:10" ht="14.25" customHeight="1" x14ac:dyDescent="0.25">
      <c r="B8" s="93" t="s">
        <v>21</v>
      </c>
      <c r="C8" s="94" t="s">
        <v>22</v>
      </c>
      <c r="D8" s="35" t="s">
        <v>24</v>
      </c>
      <c r="E8" s="28" t="s">
        <v>213</v>
      </c>
      <c r="F8" s="43">
        <v>2</v>
      </c>
      <c r="G8" s="43">
        <v>3</v>
      </c>
      <c r="H8" s="9">
        <f t="shared" si="0"/>
        <v>6</v>
      </c>
      <c r="I8" s="48" t="s">
        <v>14</v>
      </c>
      <c r="J8" s="9"/>
    </row>
    <row r="9" spans="2:10" ht="14.25" customHeight="1" x14ac:dyDescent="0.25">
      <c r="B9" s="93"/>
      <c r="C9" s="94"/>
      <c r="D9" s="35" t="s">
        <v>26</v>
      </c>
      <c r="E9" s="28" t="s">
        <v>214</v>
      </c>
      <c r="F9" s="43">
        <v>3</v>
      </c>
      <c r="G9" s="43">
        <v>2</v>
      </c>
      <c r="H9" s="9">
        <f t="shared" si="0"/>
        <v>6</v>
      </c>
      <c r="I9" s="9"/>
      <c r="J9" s="48" t="s">
        <v>14</v>
      </c>
    </row>
    <row r="10" spans="2:10" ht="14.25" customHeight="1" x14ac:dyDescent="0.25">
      <c r="B10" s="93"/>
      <c r="C10" s="94"/>
      <c r="D10" s="35" t="s">
        <v>79</v>
      </c>
      <c r="E10" s="28" t="s">
        <v>215</v>
      </c>
      <c r="F10" s="43">
        <v>3</v>
      </c>
      <c r="G10" s="43">
        <v>3</v>
      </c>
      <c r="H10" s="9">
        <f t="shared" si="0"/>
        <v>9</v>
      </c>
      <c r="I10" s="10"/>
      <c r="J10" s="48" t="s">
        <v>14</v>
      </c>
    </row>
    <row r="11" spans="2:10" ht="14.25" customHeight="1" x14ac:dyDescent="0.25">
      <c r="B11" s="93"/>
      <c r="C11" s="94"/>
      <c r="D11" s="35" t="s">
        <v>88</v>
      </c>
      <c r="E11" s="28" t="s">
        <v>202</v>
      </c>
      <c r="F11" s="43">
        <v>3</v>
      </c>
      <c r="G11" s="43">
        <v>2</v>
      </c>
      <c r="H11" s="9">
        <f t="shared" si="0"/>
        <v>6</v>
      </c>
      <c r="I11" s="48" t="s">
        <v>14</v>
      </c>
      <c r="J11" s="9"/>
    </row>
    <row r="12" spans="2:10" ht="14.25" customHeight="1" x14ac:dyDescent="0.25">
      <c r="B12" s="95" t="s">
        <v>28</v>
      </c>
      <c r="C12" s="96" t="s">
        <v>29</v>
      </c>
      <c r="D12" s="111" t="s">
        <v>36</v>
      </c>
      <c r="E12" s="112" t="s">
        <v>203</v>
      </c>
      <c r="F12" s="113">
        <v>3</v>
      </c>
      <c r="G12" s="114">
        <v>3</v>
      </c>
      <c r="H12" s="115">
        <f t="shared" si="0"/>
        <v>9</v>
      </c>
      <c r="I12" s="116" t="s">
        <v>14</v>
      </c>
      <c r="J12" s="115"/>
    </row>
    <row r="13" spans="2:10" ht="14.25" customHeight="1" x14ac:dyDescent="0.25">
      <c r="B13" s="95"/>
      <c r="C13" s="96"/>
      <c r="D13" s="36" t="s">
        <v>122</v>
      </c>
      <c r="E13" s="29" t="s">
        <v>219</v>
      </c>
      <c r="F13" s="44">
        <v>3</v>
      </c>
      <c r="G13" s="44">
        <v>2</v>
      </c>
      <c r="H13" s="12">
        <f t="shared" si="0"/>
        <v>6</v>
      </c>
      <c r="I13" s="49" t="s">
        <v>14</v>
      </c>
      <c r="J13" s="12"/>
    </row>
    <row r="14" spans="2:10" ht="14.25" customHeight="1" x14ac:dyDescent="0.25">
      <c r="B14" s="95"/>
      <c r="C14" s="96"/>
      <c r="D14" s="36" t="s">
        <v>124</v>
      </c>
      <c r="E14" s="29" t="s">
        <v>204</v>
      </c>
      <c r="F14" s="44">
        <v>2</v>
      </c>
      <c r="G14" s="44">
        <v>3</v>
      </c>
      <c r="H14" s="12">
        <f t="shared" si="0"/>
        <v>6</v>
      </c>
      <c r="I14" s="49" t="s">
        <v>14</v>
      </c>
      <c r="J14" s="13"/>
    </row>
    <row r="15" spans="2:10" ht="14.25" customHeight="1" x14ac:dyDescent="0.25">
      <c r="B15" s="95"/>
      <c r="C15" s="96"/>
      <c r="D15" s="36" t="s">
        <v>142</v>
      </c>
      <c r="E15" s="11" t="s">
        <v>216</v>
      </c>
      <c r="F15" s="55">
        <v>3</v>
      </c>
      <c r="G15" s="44">
        <v>3</v>
      </c>
      <c r="H15" s="12">
        <f t="shared" si="0"/>
        <v>9</v>
      </c>
      <c r="I15" s="12"/>
      <c r="J15" s="49" t="s">
        <v>14</v>
      </c>
    </row>
    <row r="16" spans="2:10" ht="14.25" customHeight="1" x14ac:dyDescent="0.25">
      <c r="B16" s="95"/>
      <c r="C16" s="96"/>
      <c r="D16" s="36"/>
      <c r="E16" s="11"/>
      <c r="F16" s="55">
        <v>3</v>
      </c>
      <c r="G16" s="44">
        <v>2</v>
      </c>
      <c r="H16" s="12">
        <f t="shared" si="0"/>
        <v>6</v>
      </c>
      <c r="I16" s="49" t="s">
        <v>14</v>
      </c>
      <c r="J16" s="12"/>
    </row>
    <row r="17" spans="2:10" ht="14.25" customHeight="1" x14ac:dyDescent="0.25">
      <c r="B17" s="107" t="s">
        <v>39</v>
      </c>
      <c r="C17" s="108" t="s">
        <v>40</v>
      </c>
      <c r="D17" s="117" t="s">
        <v>41</v>
      </c>
      <c r="E17" s="118" t="s">
        <v>217</v>
      </c>
      <c r="F17" s="119">
        <v>3</v>
      </c>
      <c r="G17" s="120">
        <v>2</v>
      </c>
      <c r="H17" s="121">
        <f t="shared" si="0"/>
        <v>6</v>
      </c>
      <c r="I17" s="122" t="s">
        <v>14</v>
      </c>
      <c r="J17" s="121"/>
    </row>
    <row r="18" spans="2:10" ht="14.25" customHeight="1" x14ac:dyDescent="0.25">
      <c r="B18" s="107"/>
      <c r="C18" s="108"/>
      <c r="D18" s="132" t="s">
        <v>43</v>
      </c>
      <c r="E18" s="118" t="s">
        <v>205</v>
      </c>
      <c r="F18" s="119">
        <v>2</v>
      </c>
      <c r="G18" s="120">
        <v>2</v>
      </c>
      <c r="H18" s="121">
        <f t="shared" si="0"/>
        <v>4</v>
      </c>
      <c r="I18" s="122" t="s">
        <v>14</v>
      </c>
      <c r="J18" s="123"/>
    </row>
    <row r="19" spans="2:10" ht="14.25" customHeight="1" x14ac:dyDescent="0.25">
      <c r="B19" s="107"/>
      <c r="C19" s="108"/>
      <c r="D19" s="132" t="s">
        <v>44</v>
      </c>
      <c r="E19" s="118" t="s">
        <v>206</v>
      </c>
      <c r="F19" s="119">
        <v>3</v>
      </c>
      <c r="G19" s="120">
        <v>2</v>
      </c>
      <c r="H19" s="121">
        <f t="shared" si="0"/>
        <v>6</v>
      </c>
      <c r="I19" s="122" t="s">
        <v>14</v>
      </c>
      <c r="J19" s="121"/>
    </row>
    <row r="20" spans="2:10" ht="14.25" customHeight="1" x14ac:dyDescent="0.25">
      <c r="B20" s="107"/>
      <c r="C20" s="108"/>
      <c r="D20" s="132" t="s">
        <v>301</v>
      </c>
      <c r="E20" s="118" t="s">
        <v>207</v>
      </c>
      <c r="F20" s="119">
        <v>1</v>
      </c>
      <c r="G20" s="120">
        <v>3</v>
      </c>
      <c r="H20" s="121">
        <f t="shared" si="0"/>
        <v>3</v>
      </c>
      <c r="I20" s="121"/>
      <c r="J20" s="122" t="s">
        <v>14</v>
      </c>
    </row>
    <row r="21" spans="2:10" ht="14.25" customHeight="1" x14ac:dyDescent="0.25">
      <c r="B21" s="105" t="s">
        <v>21</v>
      </c>
      <c r="C21" s="106" t="s">
        <v>46</v>
      </c>
      <c r="D21" s="124" t="s">
        <v>23</v>
      </c>
      <c r="E21" s="125" t="s">
        <v>220</v>
      </c>
      <c r="F21" s="126">
        <v>2</v>
      </c>
      <c r="G21" s="126">
        <v>2</v>
      </c>
      <c r="H21" s="127">
        <f t="shared" si="0"/>
        <v>4</v>
      </c>
      <c r="I21" s="128" t="s">
        <v>14</v>
      </c>
      <c r="J21" s="127"/>
    </row>
    <row r="22" spans="2:10" ht="14.25" customHeight="1" x14ac:dyDescent="0.25">
      <c r="B22" s="105"/>
      <c r="C22" s="106"/>
      <c r="D22" s="133" t="s">
        <v>26</v>
      </c>
      <c r="E22" s="125" t="s">
        <v>221</v>
      </c>
      <c r="F22" s="126">
        <v>2</v>
      </c>
      <c r="G22" s="126">
        <v>2</v>
      </c>
      <c r="H22" s="127">
        <f t="shared" si="0"/>
        <v>4</v>
      </c>
      <c r="I22" s="129" t="s">
        <v>14</v>
      </c>
      <c r="J22" s="127"/>
    </row>
    <row r="23" spans="2:10" ht="14.25" customHeight="1" x14ac:dyDescent="0.25">
      <c r="B23" s="105"/>
      <c r="C23" s="106"/>
      <c r="D23" s="133" t="s">
        <v>79</v>
      </c>
      <c r="E23" s="130" t="s">
        <v>222</v>
      </c>
      <c r="F23" s="131">
        <v>3</v>
      </c>
      <c r="G23" s="126">
        <v>3</v>
      </c>
      <c r="H23" s="127">
        <f t="shared" si="0"/>
        <v>9</v>
      </c>
      <c r="I23" s="128" t="s">
        <v>14</v>
      </c>
      <c r="J23" s="127"/>
    </row>
    <row r="24" spans="2:10" ht="14.25" customHeight="1" x14ac:dyDescent="0.25">
      <c r="B24" s="105"/>
      <c r="C24" s="106"/>
      <c r="D24" s="133" t="s">
        <v>82</v>
      </c>
      <c r="E24" s="130" t="s">
        <v>223</v>
      </c>
      <c r="F24" s="131">
        <v>2</v>
      </c>
      <c r="G24" s="126">
        <v>2</v>
      </c>
      <c r="H24" s="127">
        <f t="shared" si="0"/>
        <v>4</v>
      </c>
      <c r="I24" s="128" t="s">
        <v>14</v>
      </c>
      <c r="J24" s="127"/>
    </row>
    <row r="25" spans="2:10" ht="14.25" customHeight="1" x14ac:dyDescent="0.25">
      <c r="B25" s="109" t="s">
        <v>48</v>
      </c>
      <c r="C25" s="110" t="s">
        <v>49</v>
      </c>
      <c r="D25" s="134" t="s">
        <v>182</v>
      </c>
      <c r="E25" s="31" t="s">
        <v>224</v>
      </c>
      <c r="F25" s="45">
        <v>3</v>
      </c>
      <c r="G25" s="45">
        <v>3</v>
      </c>
      <c r="H25" s="14">
        <f t="shared" si="0"/>
        <v>9</v>
      </c>
      <c r="I25" s="14" t="s">
        <v>14</v>
      </c>
      <c r="J25" s="50"/>
    </row>
    <row r="26" spans="2:10" ht="14.25" customHeight="1" x14ac:dyDescent="0.25">
      <c r="B26" s="109"/>
      <c r="C26" s="110"/>
      <c r="D26" s="134" t="s">
        <v>188</v>
      </c>
      <c r="E26" s="31" t="s">
        <v>208</v>
      </c>
      <c r="F26" s="56">
        <v>3</v>
      </c>
      <c r="G26" s="45">
        <v>3</v>
      </c>
      <c r="H26" s="14">
        <f t="shared" si="0"/>
        <v>9</v>
      </c>
      <c r="I26" s="50" t="s">
        <v>14</v>
      </c>
      <c r="J26" s="14"/>
    </row>
    <row r="27" spans="2:10" ht="14.25" customHeight="1" x14ac:dyDescent="0.25">
      <c r="B27" s="109"/>
      <c r="C27" s="110"/>
      <c r="D27" s="134" t="s">
        <v>190</v>
      </c>
      <c r="E27" s="31" t="s">
        <v>209</v>
      </c>
      <c r="F27" s="24">
        <v>3</v>
      </c>
      <c r="G27" s="45">
        <v>2</v>
      </c>
      <c r="H27" s="14">
        <f t="shared" si="0"/>
        <v>6</v>
      </c>
      <c r="I27" s="51" t="s">
        <v>14</v>
      </c>
      <c r="J27" s="14"/>
    </row>
    <row r="28" spans="2:10" ht="31.5" customHeight="1" x14ac:dyDescent="0.25">
      <c r="B28" s="109"/>
      <c r="C28" s="110"/>
      <c r="D28" s="134" t="s">
        <v>194</v>
      </c>
      <c r="E28" s="31" t="s">
        <v>218</v>
      </c>
      <c r="F28" s="57">
        <v>3</v>
      </c>
      <c r="G28" s="46">
        <v>2</v>
      </c>
      <c r="H28" s="15">
        <f t="shared" si="0"/>
        <v>6</v>
      </c>
      <c r="I28" s="52" t="s">
        <v>14</v>
      </c>
      <c r="J28" s="15"/>
    </row>
    <row r="29" spans="2:10" ht="33" customHeight="1" x14ac:dyDescent="0.25">
      <c r="B29" s="109"/>
      <c r="C29" s="110"/>
      <c r="D29" s="37"/>
      <c r="E29" s="30"/>
      <c r="F29" s="58"/>
      <c r="G29" s="46"/>
      <c r="H29" s="15"/>
      <c r="I29" s="52"/>
      <c r="J29" s="16"/>
    </row>
    <row r="30" spans="2:10" ht="14.25" customHeight="1" x14ac:dyDescent="0.25"/>
    <row r="31" spans="2:10" ht="14.25" customHeight="1" x14ac:dyDescent="0.25"/>
    <row r="32" spans="2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spans="2:5" ht="14.25" customHeight="1" x14ac:dyDescent="0.25"/>
    <row r="98" spans="2:5" ht="14.25" customHeight="1" x14ac:dyDescent="0.25"/>
    <row r="99" spans="2:5" ht="14.25" customHeight="1" x14ac:dyDescent="0.25"/>
    <row r="100" spans="2:5" ht="14.25" customHeight="1" x14ac:dyDescent="0.25"/>
    <row r="101" spans="2:5" ht="14.25" customHeight="1" x14ac:dyDescent="0.25"/>
    <row r="102" spans="2:5" ht="14.25" customHeight="1" x14ac:dyDescent="0.25"/>
    <row r="103" spans="2:5" ht="14.25" customHeight="1" x14ac:dyDescent="0.25"/>
    <row r="104" spans="2:5" ht="14.25" customHeight="1" x14ac:dyDescent="0.25"/>
    <row r="105" spans="2:5" ht="14.25" customHeight="1" x14ac:dyDescent="0.25"/>
    <row r="106" spans="2:5" ht="14.25" customHeight="1" x14ac:dyDescent="0.25">
      <c r="B106" s="75" t="s">
        <v>10</v>
      </c>
      <c r="C106" s="78" t="s">
        <v>11</v>
      </c>
      <c r="D106" s="17" t="s">
        <v>12</v>
      </c>
      <c r="E106" s="17" t="s">
        <v>13</v>
      </c>
    </row>
    <row r="107" spans="2:5" ht="14.25" customHeight="1" x14ac:dyDescent="0.25">
      <c r="B107" s="76"/>
      <c r="C107" s="76"/>
      <c r="D107" s="17" t="s">
        <v>15</v>
      </c>
      <c r="E107" s="17" t="s">
        <v>53</v>
      </c>
    </row>
    <row r="108" spans="2:5" ht="14.25" customHeight="1" x14ac:dyDescent="0.25">
      <c r="B108" s="76"/>
      <c r="C108" s="76"/>
      <c r="D108" s="17" t="s">
        <v>17</v>
      </c>
      <c r="E108" s="17" t="s">
        <v>54</v>
      </c>
    </row>
    <row r="109" spans="2:5" ht="15" customHeight="1" x14ac:dyDescent="0.25">
      <c r="B109" s="76"/>
      <c r="C109" s="76"/>
      <c r="D109" s="17" t="s">
        <v>19</v>
      </c>
      <c r="E109" s="17" t="s">
        <v>20</v>
      </c>
    </row>
    <row r="110" spans="2:5" ht="15" customHeight="1" x14ac:dyDescent="0.25">
      <c r="B110" s="76"/>
      <c r="C110" s="76"/>
      <c r="D110" s="17" t="s">
        <v>55</v>
      </c>
      <c r="E110" s="17" t="s">
        <v>56</v>
      </c>
    </row>
    <row r="111" spans="2:5" ht="15" customHeight="1" x14ac:dyDescent="0.25">
      <c r="B111" s="76"/>
      <c r="C111" s="76"/>
      <c r="D111" s="17" t="s">
        <v>57</v>
      </c>
      <c r="E111" s="17" t="s">
        <v>16</v>
      </c>
    </row>
    <row r="112" spans="2:5" ht="15" customHeight="1" x14ac:dyDescent="0.25">
      <c r="B112" s="76"/>
      <c r="C112" s="76"/>
      <c r="D112" s="17" t="s">
        <v>58</v>
      </c>
      <c r="E112" s="17" t="s">
        <v>59</v>
      </c>
    </row>
    <row r="113" spans="2:8" ht="15" customHeight="1" x14ac:dyDescent="0.25">
      <c r="B113" s="76"/>
      <c r="C113" s="76"/>
      <c r="D113" s="17" t="s">
        <v>60</v>
      </c>
      <c r="E113" s="17" t="s">
        <v>61</v>
      </c>
    </row>
    <row r="114" spans="2:8" ht="15" customHeight="1" x14ac:dyDescent="0.25">
      <c r="B114" s="76"/>
      <c r="C114" s="76"/>
      <c r="D114" s="17" t="s">
        <v>62</v>
      </c>
      <c r="E114" s="17" t="s">
        <v>63</v>
      </c>
    </row>
    <row r="115" spans="2:8" ht="15" customHeight="1" x14ac:dyDescent="0.25">
      <c r="B115" s="76"/>
      <c r="C115" s="76"/>
      <c r="D115" s="17" t="s">
        <v>64</v>
      </c>
      <c r="E115" s="17" t="s">
        <v>18</v>
      </c>
    </row>
    <row r="116" spans="2:8" ht="15" customHeight="1" x14ac:dyDescent="0.25">
      <c r="B116" s="76"/>
      <c r="C116" s="76"/>
      <c r="D116" s="17" t="s">
        <v>65</v>
      </c>
      <c r="E116" s="17" t="s">
        <v>66</v>
      </c>
    </row>
    <row r="117" spans="2:8" ht="15" customHeight="1" x14ac:dyDescent="0.25">
      <c r="B117" s="76"/>
      <c r="C117" s="76"/>
      <c r="D117" s="17" t="s">
        <v>67</v>
      </c>
      <c r="E117" s="17" t="s">
        <v>68</v>
      </c>
    </row>
    <row r="118" spans="2:8" ht="15" customHeight="1" x14ac:dyDescent="0.25">
      <c r="B118" s="76"/>
      <c r="C118" s="76"/>
      <c r="D118" s="17" t="s">
        <v>69</v>
      </c>
      <c r="E118" s="17" t="s">
        <v>70</v>
      </c>
    </row>
    <row r="119" spans="2:8" ht="15" customHeight="1" x14ac:dyDescent="0.25">
      <c r="B119" s="76"/>
      <c r="C119" s="76"/>
      <c r="D119" s="17" t="s">
        <v>71</v>
      </c>
      <c r="E119" s="17" t="s">
        <v>72</v>
      </c>
    </row>
    <row r="120" spans="2:8" ht="15" customHeight="1" x14ac:dyDescent="0.25">
      <c r="B120" s="77"/>
      <c r="C120" s="77"/>
      <c r="D120" s="17" t="s">
        <v>73</v>
      </c>
      <c r="E120" s="17" t="s">
        <v>74</v>
      </c>
    </row>
    <row r="121" spans="2:8" ht="14.25" customHeight="1" x14ac:dyDescent="0.25">
      <c r="B121" s="83" t="s">
        <v>21</v>
      </c>
      <c r="C121" s="84" t="s">
        <v>22</v>
      </c>
      <c r="D121" s="18" t="s">
        <v>23</v>
      </c>
      <c r="E121" s="18" t="s">
        <v>75</v>
      </c>
      <c r="H121" s="19"/>
    </row>
    <row r="122" spans="2:8" ht="14.25" customHeight="1" x14ac:dyDescent="0.25">
      <c r="B122" s="76"/>
      <c r="C122" s="76"/>
      <c r="D122" s="18" t="s">
        <v>24</v>
      </c>
      <c r="E122" s="18" t="s">
        <v>76</v>
      </c>
    </row>
    <row r="123" spans="2:8" ht="14.25" customHeight="1" x14ac:dyDescent="0.25">
      <c r="B123" s="76"/>
      <c r="C123" s="76"/>
      <c r="D123" s="18" t="s">
        <v>25</v>
      </c>
      <c r="E123" s="18" t="s">
        <v>77</v>
      </c>
    </row>
    <row r="124" spans="2:8" ht="15" customHeight="1" x14ac:dyDescent="0.25">
      <c r="B124" s="76"/>
      <c r="C124" s="76"/>
      <c r="D124" s="18" t="s">
        <v>26</v>
      </c>
      <c r="E124" s="18" t="s">
        <v>78</v>
      </c>
    </row>
    <row r="125" spans="2:8" ht="15" customHeight="1" x14ac:dyDescent="0.25">
      <c r="B125" s="76"/>
      <c r="C125" s="76"/>
      <c r="D125" s="18" t="s">
        <v>79</v>
      </c>
      <c r="E125" s="18" t="s">
        <v>80</v>
      </c>
    </row>
    <row r="126" spans="2:8" ht="15" customHeight="1" x14ac:dyDescent="0.25">
      <c r="B126" s="76"/>
      <c r="C126" s="76"/>
      <c r="D126" s="18" t="s">
        <v>27</v>
      </c>
      <c r="E126" s="18" t="s">
        <v>81</v>
      </c>
    </row>
    <row r="127" spans="2:8" ht="15" customHeight="1" x14ac:dyDescent="0.25">
      <c r="B127" s="76"/>
      <c r="C127" s="76"/>
      <c r="D127" s="18" t="s">
        <v>82</v>
      </c>
      <c r="E127" s="18" t="s">
        <v>83</v>
      </c>
    </row>
    <row r="128" spans="2:8" ht="15" customHeight="1" x14ac:dyDescent="0.25">
      <c r="B128" s="76"/>
      <c r="C128" s="76"/>
      <c r="D128" s="18" t="s">
        <v>84</v>
      </c>
      <c r="E128" s="18" t="s">
        <v>85</v>
      </c>
    </row>
    <row r="129" spans="2:8" ht="15" customHeight="1" x14ac:dyDescent="0.25">
      <c r="B129" s="76"/>
      <c r="C129" s="76"/>
      <c r="D129" s="18" t="s">
        <v>86</v>
      </c>
      <c r="E129" s="18" t="s">
        <v>87</v>
      </c>
    </row>
    <row r="130" spans="2:8" ht="15" customHeight="1" x14ac:dyDescent="0.25">
      <c r="B130" s="76"/>
      <c r="C130" s="76"/>
      <c r="D130" s="18" t="s">
        <v>88</v>
      </c>
      <c r="E130" s="18" t="s">
        <v>89</v>
      </c>
    </row>
    <row r="131" spans="2:8" ht="15" customHeight="1" x14ac:dyDescent="0.25">
      <c r="B131" s="76"/>
      <c r="C131" s="76"/>
      <c r="D131" s="18" t="s">
        <v>90</v>
      </c>
      <c r="E131" s="18" t="s">
        <v>91</v>
      </c>
    </row>
    <row r="132" spans="2:8" ht="15" customHeight="1" x14ac:dyDescent="0.25">
      <c r="B132" s="76"/>
      <c r="C132" s="76"/>
      <c r="D132" s="18" t="s">
        <v>92</v>
      </c>
      <c r="E132" s="18" t="s">
        <v>93</v>
      </c>
    </row>
    <row r="133" spans="2:8" ht="15" customHeight="1" x14ac:dyDescent="0.25">
      <c r="B133" s="76"/>
      <c r="C133" s="76"/>
      <c r="D133" s="18" t="s">
        <v>94</v>
      </c>
      <c r="E133" s="18" t="s">
        <v>95</v>
      </c>
    </row>
    <row r="134" spans="2:8" ht="15" customHeight="1" x14ac:dyDescent="0.25">
      <c r="B134" s="76"/>
      <c r="C134" s="76"/>
      <c r="D134" s="18" t="s">
        <v>96</v>
      </c>
      <c r="E134" s="18" t="s">
        <v>97</v>
      </c>
    </row>
    <row r="135" spans="2:8" ht="15" customHeight="1" x14ac:dyDescent="0.25">
      <c r="B135" s="76"/>
      <c r="C135" s="76"/>
      <c r="D135" s="18" t="s">
        <v>98</v>
      </c>
      <c r="E135" s="18" t="s">
        <v>99</v>
      </c>
    </row>
    <row r="136" spans="2:8" ht="15" customHeight="1" x14ac:dyDescent="0.25">
      <c r="B136" s="76"/>
      <c r="C136" s="76"/>
      <c r="D136" s="18" t="s">
        <v>100</v>
      </c>
      <c r="E136" s="18" t="s">
        <v>101</v>
      </c>
    </row>
    <row r="137" spans="2:8" ht="15" customHeight="1" x14ac:dyDescent="0.25">
      <c r="B137" s="76"/>
      <c r="C137" s="76"/>
      <c r="D137" s="18" t="s">
        <v>102</v>
      </c>
      <c r="E137" s="18" t="s">
        <v>103</v>
      </c>
    </row>
    <row r="138" spans="2:8" ht="15" customHeight="1" x14ac:dyDescent="0.25">
      <c r="B138" s="76"/>
      <c r="C138" s="76"/>
      <c r="D138" s="18" t="s">
        <v>104</v>
      </c>
      <c r="E138" s="18" t="s">
        <v>105</v>
      </c>
    </row>
    <row r="139" spans="2:8" ht="15" customHeight="1" x14ac:dyDescent="0.25">
      <c r="B139" s="76"/>
      <c r="C139" s="76"/>
      <c r="D139" s="18" t="s">
        <v>106</v>
      </c>
      <c r="E139" s="18" t="s">
        <v>107</v>
      </c>
    </row>
    <row r="140" spans="2:8" ht="15" customHeight="1" x14ac:dyDescent="0.25">
      <c r="B140" s="76"/>
      <c r="C140" s="76"/>
      <c r="D140" s="18" t="s">
        <v>108</v>
      </c>
      <c r="E140" s="18" t="s">
        <v>109</v>
      </c>
    </row>
    <row r="141" spans="2:8" ht="15" customHeight="1" x14ac:dyDescent="0.25">
      <c r="B141" s="77"/>
      <c r="C141" s="77"/>
      <c r="D141" s="18" t="s">
        <v>110</v>
      </c>
      <c r="E141" s="18" t="s">
        <v>111</v>
      </c>
    </row>
    <row r="142" spans="2:8" ht="14.25" customHeight="1" x14ac:dyDescent="0.25">
      <c r="B142" s="85" t="s">
        <v>28</v>
      </c>
      <c r="C142" s="86" t="s">
        <v>29</v>
      </c>
      <c r="D142" s="20" t="s">
        <v>30</v>
      </c>
      <c r="E142" s="20" t="s">
        <v>112</v>
      </c>
      <c r="H142" s="19"/>
    </row>
    <row r="143" spans="2:8" ht="14.25" customHeight="1" x14ac:dyDescent="0.25">
      <c r="B143" s="76"/>
      <c r="C143" s="76"/>
      <c r="D143" s="20" t="s">
        <v>31</v>
      </c>
      <c r="E143" s="20" t="s">
        <v>113</v>
      </c>
    </row>
    <row r="144" spans="2:8" ht="14.25" customHeight="1" x14ac:dyDescent="0.25">
      <c r="B144" s="76"/>
      <c r="C144" s="76"/>
      <c r="D144" s="20" t="s">
        <v>32</v>
      </c>
      <c r="E144" s="20" t="s">
        <v>114</v>
      </c>
    </row>
    <row r="145" spans="2:5" ht="14.25" customHeight="1" x14ac:dyDescent="0.25">
      <c r="B145" s="76"/>
      <c r="C145" s="76"/>
      <c r="D145" s="20" t="s">
        <v>33</v>
      </c>
      <c r="E145" s="20" t="s">
        <v>115</v>
      </c>
    </row>
    <row r="146" spans="2:5" ht="14.25" customHeight="1" x14ac:dyDescent="0.25">
      <c r="B146" s="76"/>
      <c r="C146" s="76"/>
      <c r="D146" s="20" t="s">
        <v>35</v>
      </c>
      <c r="E146" s="20" t="s">
        <v>34</v>
      </c>
    </row>
    <row r="147" spans="2:5" ht="14.25" customHeight="1" x14ac:dyDescent="0.25">
      <c r="B147" s="76"/>
      <c r="C147" s="76"/>
      <c r="D147" s="20" t="s">
        <v>36</v>
      </c>
      <c r="E147" s="20" t="s">
        <v>227</v>
      </c>
    </row>
    <row r="148" spans="2:5" ht="14.25" customHeight="1" x14ac:dyDescent="0.25">
      <c r="B148" s="76"/>
      <c r="C148" s="76"/>
      <c r="D148" s="20" t="s">
        <v>37</v>
      </c>
      <c r="E148" s="20" t="s">
        <v>116</v>
      </c>
    </row>
    <row r="149" spans="2:5" ht="14.25" customHeight="1" x14ac:dyDescent="0.25">
      <c r="B149" s="76"/>
      <c r="C149" s="76"/>
      <c r="D149" s="20" t="s">
        <v>38</v>
      </c>
      <c r="E149" s="20" t="s">
        <v>117</v>
      </c>
    </row>
    <row r="150" spans="2:5" ht="14.25" customHeight="1" x14ac:dyDescent="0.25">
      <c r="B150" s="76"/>
      <c r="C150" s="76"/>
      <c r="D150" s="20" t="s">
        <v>118</v>
      </c>
      <c r="E150" s="20" t="s">
        <v>119</v>
      </c>
    </row>
    <row r="151" spans="2:5" ht="14.25" customHeight="1" x14ac:dyDescent="0.25">
      <c r="B151" s="76"/>
      <c r="C151" s="76"/>
      <c r="D151" s="20" t="s">
        <v>120</v>
      </c>
      <c r="E151" s="20" t="s">
        <v>121</v>
      </c>
    </row>
    <row r="152" spans="2:5" ht="14.25" customHeight="1" x14ac:dyDescent="0.25">
      <c r="B152" s="76"/>
      <c r="C152" s="76"/>
      <c r="D152" s="20" t="s">
        <v>122</v>
      </c>
      <c r="E152" s="20" t="s">
        <v>123</v>
      </c>
    </row>
    <row r="153" spans="2:5" ht="14.25" customHeight="1" x14ac:dyDescent="0.25">
      <c r="B153" s="76"/>
      <c r="C153" s="76"/>
      <c r="D153" s="20" t="s">
        <v>124</v>
      </c>
      <c r="E153" s="20" t="s">
        <v>125</v>
      </c>
    </row>
    <row r="154" spans="2:5" ht="14.25" customHeight="1" x14ac:dyDescent="0.25">
      <c r="B154" s="76"/>
      <c r="C154" s="76"/>
      <c r="D154" s="20" t="s">
        <v>126</v>
      </c>
      <c r="E154" s="20" t="s">
        <v>127</v>
      </c>
    </row>
    <row r="155" spans="2:5" ht="14.25" customHeight="1" x14ac:dyDescent="0.25">
      <c r="B155" s="76"/>
      <c r="C155" s="76"/>
      <c r="D155" s="20" t="s">
        <v>128</v>
      </c>
      <c r="E155" s="20" t="s">
        <v>129</v>
      </c>
    </row>
    <row r="156" spans="2:5" ht="14.25" customHeight="1" x14ac:dyDescent="0.25">
      <c r="B156" s="76"/>
      <c r="C156" s="76"/>
      <c r="D156" s="20" t="s">
        <v>130</v>
      </c>
      <c r="E156" s="20" t="s">
        <v>131</v>
      </c>
    </row>
    <row r="157" spans="2:5" ht="14.25" customHeight="1" x14ac:dyDescent="0.25">
      <c r="B157" s="76"/>
      <c r="C157" s="76"/>
      <c r="D157" s="20" t="s">
        <v>132</v>
      </c>
      <c r="E157" s="20" t="s">
        <v>133</v>
      </c>
    </row>
    <row r="158" spans="2:5" ht="14.25" customHeight="1" x14ac:dyDescent="0.25">
      <c r="B158" s="76"/>
      <c r="C158" s="76"/>
      <c r="D158" s="20" t="s">
        <v>134</v>
      </c>
      <c r="E158" s="20" t="s">
        <v>135</v>
      </c>
    </row>
    <row r="159" spans="2:5" ht="14.25" customHeight="1" x14ac:dyDescent="0.25">
      <c r="B159" s="76"/>
      <c r="C159" s="76"/>
      <c r="D159" s="20" t="s">
        <v>136</v>
      </c>
      <c r="E159" s="20" t="s">
        <v>137</v>
      </c>
    </row>
    <row r="160" spans="2:5" ht="14.25" customHeight="1" x14ac:dyDescent="0.25">
      <c r="B160" s="76"/>
      <c r="C160" s="76"/>
      <c r="D160" s="20" t="s">
        <v>138</v>
      </c>
      <c r="E160" s="20" t="s">
        <v>139</v>
      </c>
    </row>
    <row r="161" spans="2:5" ht="14.25" customHeight="1" x14ac:dyDescent="0.25">
      <c r="B161" s="76"/>
      <c r="C161" s="76"/>
      <c r="D161" s="20" t="s">
        <v>140</v>
      </c>
      <c r="E161" s="20" t="s">
        <v>141</v>
      </c>
    </row>
    <row r="162" spans="2:5" ht="14.25" customHeight="1" x14ac:dyDescent="0.25">
      <c r="B162" s="76"/>
      <c r="C162" s="76"/>
      <c r="D162" s="20" t="s">
        <v>142</v>
      </c>
      <c r="E162" s="20" t="s">
        <v>143</v>
      </c>
    </row>
    <row r="163" spans="2:5" ht="14.25" customHeight="1" x14ac:dyDescent="0.25">
      <c r="B163" s="76"/>
      <c r="C163" s="76"/>
      <c r="D163" s="20" t="s">
        <v>144</v>
      </c>
      <c r="E163" s="20" t="s">
        <v>145</v>
      </c>
    </row>
    <row r="164" spans="2:5" ht="14.25" customHeight="1" x14ac:dyDescent="0.25">
      <c r="B164" s="76"/>
      <c r="C164" s="76"/>
      <c r="D164" s="20" t="s">
        <v>146</v>
      </c>
      <c r="E164" s="20" t="s">
        <v>147</v>
      </c>
    </row>
    <row r="165" spans="2:5" ht="14.25" customHeight="1" x14ac:dyDescent="0.25">
      <c r="B165" s="77"/>
      <c r="C165" s="77"/>
      <c r="D165" s="20" t="s">
        <v>148</v>
      </c>
      <c r="E165" s="20" t="s">
        <v>149</v>
      </c>
    </row>
    <row r="166" spans="2:5" ht="14.25" customHeight="1" x14ac:dyDescent="0.25">
      <c r="B166" s="87" t="s">
        <v>39</v>
      </c>
      <c r="C166" s="88" t="s">
        <v>40</v>
      </c>
      <c r="D166" s="21" t="s">
        <v>41</v>
      </c>
      <c r="E166" s="21" t="s">
        <v>150</v>
      </c>
    </row>
    <row r="167" spans="2:5" ht="14.25" customHeight="1" x14ac:dyDescent="0.25">
      <c r="B167" s="76"/>
      <c r="C167" s="76"/>
      <c r="D167" s="21" t="s">
        <v>42</v>
      </c>
      <c r="E167" s="21" t="s">
        <v>151</v>
      </c>
    </row>
    <row r="168" spans="2:5" ht="14.25" customHeight="1" x14ac:dyDescent="0.25">
      <c r="B168" s="76"/>
      <c r="C168" s="76"/>
      <c r="D168" s="21" t="s">
        <v>43</v>
      </c>
      <c r="E168" s="21" t="s">
        <v>152</v>
      </c>
    </row>
    <row r="169" spans="2:5" ht="14.25" customHeight="1" x14ac:dyDescent="0.25">
      <c r="B169" s="76"/>
      <c r="C169" s="76"/>
      <c r="D169" s="21" t="s">
        <v>44</v>
      </c>
      <c r="E169" s="21" t="s">
        <v>153</v>
      </c>
    </row>
    <row r="170" spans="2:5" ht="14.25" customHeight="1" x14ac:dyDescent="0.25">
      <c r="B170" s="76"/>
      <c r="C170" s="76"/>
      <c r="D170" s="21" t="s">
        <v>41</v>
      </c>
      <c r="E170" s="21" t="s">
        <v>154</v>
      </c>
    </row>
    <row r="171" spans="2:5" ht="14.25" customHeight="1" x14ac:dyDescent="0.25">
      <c r="B171" s="76"/>
      <c r="C171" s="76"/>
      <c r="D171" s="21" t="s">
        <v>42</v>
      </c>
      <c r="E171" s="21" t="s">
        <v>155</v>
      </c>
    </row>
    <row r="172" spans="2:5" ht="14.25" customHeight="1" x14ac:dyDescent="0.25">
      <c r="B172" s="76"/>
      <c r="C172" s="76"/>
      <c r="D172" s="21" t="s">
        <v>43</v>
      </c>
      <c r="E172" s="21" t="s">
        <v>156</v>
      </c>
    </row>
    <row r="173" spans="2:5" ht="14.25" customHeight="1" x14ac:dyDescent="0.25">
      <c r="B173" s="76"/>
      <c r="C173" s="76"/>
      <c r="D173" s="21" t="s">
        <v>44</v>
      </c>
      <c r="E173" s="21" t="s">
        <v>157</v>
      </c>
    </row>
    <row r="174" spans="2:5" ht="14.25" customHeight="1" x14ac:dyDescent="0.25">
      <c r="B174" s="76"/>
      <c r="C174" s="76"/>
      <c r="D174" s="21" t="s">
        <v>41</v>
      </c>
      <c r="E174" s="21" t="s">
        <v>158</v>
      </c>
    </row>
    <row r="175" spans="2:5" ht="14.25" customHeight="1" x14ac:dyDescent="0.25">
      <c r="B175" s="76"/>
      <c r="C175" s="76"/>
      <c r="D175" s="21" t="s">
        <v>42</v>
      </c>
      <c r="E175" s="21" t="s">
        <v>159</v>
      </c>
    </row>
    <row r="176" spans="2:5" ht="14.25" customHeight="1" x14ac:dyDescent="0.25">
      <c r="B176" s="77"/>
      <c r="C176" s="77"/>
      <c r="D176" s="21" t="s">
        <v>43</v>
      </c>
      <c r="E176" s="21" t="s">
        <v>45</v>
      </c>
    </row>
    <row r="177" spans="2:5" ht="14.25" customHeight="1" x14ac:dyDescent="0.25">
      <c r="B177" s="79" t="s">
        <v>21</v>
      </c>
      <c r="C177" s="80" t="s">
        <v>46</v>
      </c>
      <c r="D177" s="22" t="s">
        <v>160</v>
      </c>
      <c r="E177" s="22" t="s">
        <v>161</v>
      </c>
    </row>
    <row r="178" spans="2:5" ht="14.25" customHeight="1" x14ac:dyDescent="0.25">
      <c r="B178" s="76"/>
      <c r="C178" s="76"/>
      <c r="D178" s="22" t="s">
        <v>162</v>
      </c>
      <c r="E178" s="22" t="s">
        <v>163</v>
      </c>
    </row>
    <row r="179" spans="2:5" ht="14.25" customHeight="1" x14ac:dyDescent="0.25">
      <c r="B179" s="76"/>
      <c r="C179" s="76"/>
      <c r="D179" s="22" t="s">
        <v>164</v>
      </c>
      <c r="E179" s="22" t="s">
        <v>165</v>
      </c>
    </row>
    <row r="180" spans="2:5" ht="15" customHeight="1" x14ac:dyDescent="0.25">
      <c r="B180" s="76"/>
      <c r="C180" s="76"/>
      <c r="D180" s="22" t="s">
        <v>166</v>
      </c>
      <c r="E180" s="22" t="s">
        <v>167</v>
      </c>
    </row>
    <row r="181" spans="2:5" ht="15" customHeight="1" x14ac:dyDescent="0.25">
      <c r="B181" s="76"/>
      <c r="C181" s="76"/>
      <c r="D181" s="22" t="s">
        <v>168</v>
      </c>
      <c r="E181" s="22" t="s">
        <v>169</v>
      </c>
    </row>
    <row r="182" spans="2:5" ht="15" customHeight="1" x14ac:dyDescent="0.25">
      <c r="B182" s="76"/>
      <c r="C182" s="76"/>
      <c r="D182" s="22" t="s">
        <v>170</v>
      </c>
      <c r="E182" s="22" t="s">
        <v>171</v>
      </c>
    </row>
    <row r="183" spans="2:5" ht="15" customHeight="1" x14ac:dyDescent="0.25">
      <c r="B183" s="76"/>
      <c r="C183" s="76"/>
      <c r="D183" s="22" t="s">
        <v>172</v>
      </c>
      <c r="E183" s="22" t="s">
        <v>173</v>
      </c>
    </row>
    <row r="184" spans="2:5" ht="15" customHeight="1" x14ac:dyDescent="0.25">
      <c r="B184" s="76"/>
      <c r="C184" s="76"/>
      <c r="D184" s="22" t="s">
        <v>174</v>
      </c>
      <c r="E184" s="22" t="s">
        <v>47</v>
      </c>
    </row>
    <row r="185" spans="2:5" ht="15" customHeight="1" x14ac:dyDescent="0.25">
      <c r="B185" s="76"/>
      <c r="C185" s="76"/>
      <c r="D185" s="22" t="s">
        <v>175</v>
      </c>
      <c r="E185" s="22" t="s">
        <v>176</v>
      </c>
    </row>
    <row r="186" spans="2:5" ht="15" customHeight="1" x14ac:dyDescent="0.25">
      <c r="B186" s="77"/>
      <c r="C186" s="77"/>
      <c r="D186" s="22" t="s">
        <v>177</v>
      </c>
      <c r="E186" s="22" t="s">
        <v>178</v>
      </c>
    </row>
    <row r="187" spans="2:5" ht="14.25" customHeight="1" x14ac:dyDescent="0.25">
      <c r="B187" s="81" t="s">
        <v>48</v>
      </c>
      <c r="C187" s="82" t="s">
        <v>49</v>
      </c>
      <c r="D187" s="23" t="s">
        <v>50</v>
      </c>
      <c r="E187" s="23" t="s">
        <v>179</v>
      </c>
    </row>
    <row r="188" spans="2:5" ht="14.25" customHeight="1" x14ac:dyDescent="0.25">
      <c r="B188" s="76"/>
      <c r="C188" s="76"/>
      <c r="D188" s="23" t="s">
        <v>52</v>
      </c>
      <c r="E188" s="23" t="s">
        <v>180</v>
      </c>
    </row>
    <row r="189" spans="2:5" ht="14.25" customHeight="1" x14ac:dyDescent="0.25">
      <c r="B189" s="76"/>
      <c r="C189" s="76"/>
      <c r="D189" s="23" t="s">
        <v>181</v>
      </c>
      <c r="E189" s="23" t="s">
        <v>51</v>
      </c>
    </row>
    <row r="190" spans="2:5" ht="14.25" customHeight="1" x14ac:dyDescent="0.25">
      <c r="B190" s="76"/>
      <c r="C190" s="76"/>
      <c r="D190" s="23" t="s">
        <v>182</v>
      </c>
      <c r="E190" s="23" t="s">
        <v>183</v>
      </c>
    </row>
    <row r="191" spans="2:5" ht="14.25" customHeight="1" x14ac:dyDescent="0.25">
      <c r="B191" s="76"/>
      <c r="C191" s="76"/>
      <c r="D191" s="23" t="s">
        <v>184</v>
      </c>
      <c r="E191" s="23" t="s">
        <v>185</v>
      </c>
    </row>
    <row r="192" spans="2:5" ht="14.25" customHeight="1" x14ac:dyDescent="0.25">
      <c r="B192" s="76"/>
      <c r="C192" s="76"/>
      <c r="D192" s="23" t="s">
        <v>186</v>
      </c>
      <c r="E192" s="23" t="s">
        <v>187</v>
      </c>
    </row>
    <row r="193" spans="2:5" ht="14.25" customHeight="1" x14ac:dyDescent="0.25">
      <c r="B193" s="76"/>
      <c r="C193" s="76"/>
      <c r="D193" s="23" t="s">
        <v>188</v>
      </c>
      <c r="E193" s="23" t="s">
        <v>189</v>
      </c>
    </row>
    <row r="194" spans="2:5" ht="14.25" customHeight="1" x14ac:dyDescent="0.25">
      <c r="B194" s="76"/>
      <c r="C194" s="76"/>
      <c r="D194" s="23" t="s">
        <v>190</v>
      </c>
      <c r="E194" s="23" t="s">
        <v>191</v>
      </c>
    </row>
    <row r="195" spans="2:5" ht="14.25" customHeight="1" x14ac:dyDescent="0.25">
      <c r="B195" s="76"/>
      <c r="C195" s="76"/>
      <c r="D195" s="23" t="s">
        <v>192</v>
      </c>
      <c r="E195" s="23" t="s">
        <v>193</v>
      </c>
    </row>
    <row r="196" spans="2:5" ht="14.25" customHeight="1" x14ac:dyDescent="0.25">
      <c r="B196" s="77"/>
      <c r="C196" s="77"/>
      <c r="D196" s="23" t="s">
        <v>194</v>
      </c>
      <c r="E196" s="23" t="s">
        <v>195</v>
      </c>
    </row>
    <row r="197" spans="2:5" ht="14.25" customHeight="1" x14ac:dyDescent="0.25"/>
    <row r="198" spans="2:5" ht="14.25" customHeight="1" x14ac:dyDescent="0.25"/>
    <row r="199" spans="2:5" ht="14.25" customHeight="1" x14ac:dyDescent="0.25"/>
    <row r="200" spans="2:5" ht="14.25" customHeight="1" x14ac:dyDescent="0.25"/>
    <row r="201" spans="2:5" ht="14.25" customHeight="1" x14ac:dyDescent="0.25"/>
    <row r="202" spans="2:5" ht="14.25" customHeight="1" x14ac:dyDescent="0.25"/>
    <row r="203" spans="2:5" ht="14.25" customHeight="1" x14ac:dyDescent="0.25"/>
    <row r="204" spans="2:5" ht="14.25" customHeight="1" x14ac:dyDescent="0.25"/>
    <row r="205" spans="2:5" ht="14.25" customHeight="1" x14ac:dyDescent="0.25"/>
    <row r="206" spans="2:5" ht="14.25" customHeight="1" x14ac:dyDescent="0.25"/>
    <row r="207" spans="2:5" ht="14.25" customHeight="1" x14ac:dyDescent="0.25"/>
    <row r="208" spans="2:5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</sheetData>
  <mergeCells count="29">
    <mergeCell ref="B166:B176"/>
    <mergeCell ref="B177:B186"/>
    <mergeCell ref="B25:B29"/>
    <mergeCell ref="C25:C29"/>
    <mergeCell ref="B187:B196"/>
    <mergeCell ref="C166:C176"/>
    <mergeCell ref="C177:C186"/>
    <mergeCell ref="C187:C196"/>
    <mergeCell ref="B106:B120"/>
    <mergeCell ref="C106:C120"/>
    <mergeCell ref="B121:B141"/>
    <mergeCell ref="C121:C141"/>
    <mergeCell ref="C142:C165"/>
    <mergeCell ref="B21:B24"/>
    <mergeCell ref="C21:C24"/>
    <mergeCell ref="B17:B20"/>
    <mergeCell ref="C17:C20"/>
    <mergeCell ref="B142:B165"/>
    <mergeCell ref="B1:J1"/>
    <mergeCell ref="B8:B11"/>
    <mergeCell ref="C8:C11"/>
    <mergeCell ref="B12:B16"/>
    <mergeCell ref="C12:C16"/>
    <mergeCell ref="H2:H3"/>
    <mergeCell ref="I2:I3"/>
    <mergeCell ref="J2:J3"/>
    <mergeCell ref="B3:C3"/>
    <mergeCell ref="B4:B7"/>
    <mergeCell ref="C4:C7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CRITERIOS</vt:lpstr>
      <vt:lpstr>ELEMENTOS</vt:lpstr>
      <vt:lpstr>PESTEL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Rafael Mansilla Alza</dc:creator>
  <cp:lastModifiedBy>lisbeth rosas</cp:lastModifiedBy>
  <dcterms:created xsi:type="dcterms:W3CDTF">2021-03-09T18:01:24Z</dcterms:created>
  <dcterms:modified xsi:type="dcterms:W3CDTF">2026-03-11T00:17:29Z</dcterms:modified>
</cp:coreProperties>
</file>