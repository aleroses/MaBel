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aBel\utilities\"/>
    </mc:Choice>
  </mc:AlternateContent>
  <xr:revisionPtr revIDLastSave="0" documentId="13_ncr:1_{148A9DED-DFF6-4C09-B691-98188151F03B}" xr6:coauthVersionLast="47" xr6:coauthVersionMax="47" xr10:uidLastSave="{00000000-0000-0000-0000-000000000000}"/>
  <bookViews>
    <workbookView xWindow="-120" yWindow="-120" windowWidth="20730" windowHeight="11760" activeTab="2" xr2:uid="{E75E3C13-AC3D-4914-9135-F849659ACBFB}"/>
  </bookViews>
  <sheets>
    <sheet name="Ejercicio Clase" sheetId="3" r:id="rId1"/>
    <sheet name="Ejercicio 2" sheetId="4" r:id="rId2"/>
    <sheet name="Mi Punto de Equilibrio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8" i="5" l="1"/>
  <c r="F17" i="5"/>
  <c r="F16" i="5"/>
  <c r="F12" i="3"/>
  <c r="B12" i="5"/>
  <c r="C230" i="5"/>
  <c r="C229" i="5"/>
  <c r="C228" i="5"/>
  <c r="C227" i="5"/>
  <c r="C226" i="5"/>
  <c r="C225" i="5"/>
  <c r="C224" i="5"/>
  <c r="C223" i="5"/>
  <c r="C222" i="5"/>
  <c r="C221" i="5"/>
  <c r="C220" i="5"/>
  <c r="C219" i="5"/>
  <c r="C218" i="5"/>
  <c r="C217" i="5"/>
  <c r="C216" i="5"/>
  <c r="C215" i="5"/>
  <c r="C214" i="5"/>
  <c r="C213" i="5"/>
  <c r="C212" i="5"/>
  <c r="C211" i="5"/>
  <c r="C210" i="5"/>
  <c r="C209" i="5"/>
  <c r="C208" i="5"/>
  <c r="C207" i="5"/>
  <c r="C206" i="5"/>
  <c r="C205" i="5"/>
  <c r="C204" i="5"/>
  <c r="C203" i="5"/>
  <c r="C202" i="5"/>
  <c r="C201" i="5"/>
  <c r="C200" i="5"/>
  <c r="C199" i="5"/>
  <c r="C198" i="5"/>
  <c r="C197" i="5"/>
  <c r="C196" i="5"/>
  <c r="C195" i="5"/>
  <c r="C194" i="5"/>
  <c r="C193" i="5"/>
  <c r="C192" i="5"/>
  <c r="C191" i="5"/>
  <c r="C190" i="5"/>
  <c r="C189" i="5"/>
  <c r="C188" i="5"/>
  <c r="C187" i="5"/>
  <c r="C186" i="5"/>
  <c r="C185" i="5"/>
  <c r="C184" i="5"/>
  <c r="C183" i="5"/>
  <c r="C182" i="5"/>
  <c r="C181" i="5"/>
  <c r="C180" i="5"/>
  <c r="C179" i="5"/>
  <c r="C178" i="5"/>
  <c r="C177" i="5"/>
  <c r="C176" i="5"/>
  <c r="C175" i="5"/>
  <c r="C174" i="5"/>
  <c r="C173" i="5"/>
  <c r="C172" i="5"/>
  <c r="C171" i="5"/>
  <c r="C170" i="5"/>
  <c r="C169" i="5"/>
  <c r="C168" i="5"/>
  <c r="C167" i="5"/>
  <c r="C166" i="5"/>
  <c r="C165" i="5"/>
  <c r="C164" i="5"/>
  <c r="C163" i="5"/>
  <c r="C162" i="5"/>
  <c r="C161" i="5"/>
  <c r="C160" i="5"/>
  <c r="C159" i="5"/>
  <c r="C158" i="5"/>
  <c r="C157" i="5"/>
  <c r="C156" i="5"/>
  <c r="C155" i="5"/>
  <c r="C154" i="5"/>
  <c r="C153" i="5"/>
  <c r="C152" i="5"/>
  <c r="C151" i="5"/>
  <c r="C150" i="5"/>
  <c r="C149" i="5"/>
  <c r="C148" i="5"/>
  <c r="C147" i="5"/>
  <c r="C146" i="5"/>
  <c r="C145" i="5"/>
  <c r="C144" i="5"/>
  <c r="C143" i="5"/>
  <c r="C142" i="5"/>
  <c r="C141" i="5"/>
  <c r="C140" i="5"/>
  <c r="C139" i="5"/>
  <c r="C138" i="5"/>
  <c r="C137" i="5"/>
  <c r="C136" i="5"/>
  <c r="C135" i="5"/>
  <c r="C134" i="5"/>
  <c r="C133" i="5"/>
  <c r="C132" i="5"/>
  <c r="C131" i="5"/>
  <c r="C130" i="5"/>
  <c r="C129" i="5"/>
  <c r="C128" i="5"/>
  <c r="C127" i="5"/>
  <c r="C126" i="5"/>
  <c r="C125" i="5"/>
  <c r="C124" i="5"/>
  <c r="C123" i="5"/>
  <c r="C122" i="5"/>
  <c r="C121" i="5"/>
  <c r="C120" i="5"/>
  <c r="C119" i="5"/>
  <c r="C118" i="5"/>
  <c r="C117" i="5"/>
  <c r="C116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B22" i="5"/>
  <c r="F19" i="4"/>
  <c r="B12" i="4"/>
  <c r="F16" i="4" s="1"/>
  <c r="B22" i="4"/>
  <c r="B251" i="4"/>
  <c r="C251" i="4"/>
  <c r="B252" i="4"/>
  <c r="C252" i="4"/>
  <c r="B253" i="4"/>
  <c r="C253" i="4"/>
  <c r="B254" i="4"/>
  <c r="C254" i="4"/>
  <c r="B255" i="4"/>
  <c r="C255" i="4"/>
  <c r="B245" i="4"/>
  <c r="C245" i="4"/>
  <c r="B246" i="4"/>
  <c r="C246" i="4"/>
  <c r="B247" i="4"/>
  <c r="C247" i="4"/>
  <c r="B248" i="4"/>
  <c r="C248" i="4"/>
  <c r="B249" i="4"/>
  <c r="C249" i="4"/>
  <c r="B250" i="4"/>
  <c r="C250" i="4"/>
  <c r="B231" i="4"/>
  <c r="C231" i="4"/>
  <c r="B232" i="4"/>
  <c r="C232" i="4"/>
  <c r="B233" i="4"/>
  <c r="C233" i="4"/>
  <c r="B234" i="4"/>
  <c r="C234" i="4"/>
  <c r="B235" i="4"/>
  <c r="C235" i="4"/>
  <c r="B236" i="4"/>
  <c r="C236" i="4"/>
  <c r="B237" i="4"/>
  <c r="C237" i="4"/>
  <c r="B238" i="4"/>
  <c r="C238" i="4"/>
  <c r="B239" i="4"/>
  <c r="C239" i="4"/>
  <c r="B240" i="4"/>
  <c r="C240" i="4"/>
  <c r="B241" i="4"/>
  <c r="C241" i="4"/>
  <c r="B242" i="4"/>
  <c r="C242" i="4"/>
  <c r="B243" i="4"/>
  <c r="C243" i="4"/>
  <c r="B244" i="4"/>
  <c r="C244" i="4"/>
  <c r="C230" i="4"/>
  <c r="B230" i="4"/>
  <c r="K16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30" i="4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C26" i="3"/>
  <c r="B26" i="3"/>
  <c r="F15" i="3"/>
  <c r="B18" i="3"/>
  <c r="B8" i="3"/>
  <c r="B230" i="5" l="1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31" i="4"/>
  <c r="B30" i="4"/>
  <c r="B36" i="4"/>
  <c r="B37" i="4"/>
  <c r="B41" i="4"/>
  <c r="B45" i="4"/>
  <c r="B48" i="4"/>
  <c r="B51" i="4"/>
  <c r="B56" i="4"/>
  <c r="B59" i="4"/>
  <c r="B63" i="4"/>
  <c r="B69" i="4"/>
  <c r="B72" i="4"/>
  <c r="B76" i="4"/>
  <c r="B81" i="4"/>
  <c r="B86" i="4"/>
  <c r="B91" i="4"/>
  <c r="B98" i="4"/>
  <c r="B103" i="4"/>
  <c r="B106" i="4"/>
  <c r="B110" i="4"/>
  <c r="B115" i="4"/>
  <c r="B119" i="4"/>
  <c r="B124" i="4"/>
  <c r="B128" i="4"/>
  <c r="B134" i="4"/>
  <c r="B138" i="4"/>
  <c r="B142" i="4"/>
  <c r="B145" i="4"/>
  <c r="B149" i="4"/>
  <c r="B153" i="4"/>
  <c r="B157" i="4"/>
  <c r="B162" i="4"/>
  <c r="B166" i="4"/>
  <c r="B171" i="4"/>
  <c r="B177" i="4"/>
  <c r="B182" i="4"/>
  <c r="B186" i="4"/>
  <c r="B189" i="4"/>
  <c r="B193" i="4"/>
  <c r="B197" i="4"/>
  <c r="B202" i="4"/>
  <c r="B206" i="4"/>
  <c r="B210" i="4"/>
  <c r="B214" i="4"/>
  <c r="B218" i="4"/>
  <c r="B222" i="4"/>
  <c r="B226" i="4"/>
  <c r="B229" i="4"/>
  <c r="B32" i="4"/>
  <c r="B33" i="4"/>
  <c r="B40" i="4"/>
  <c r="B43" i="4"/>
  <c r="B47" i="4"/>
  <c r="B50" i="4"/>
  <c r="B54" i="4"/>
  <c r="B61" i="4"/>
  <c r="B64" i="4"/>
  <c r="B67" i="4"/>
  <c r="B70" i="4"/>
  <c r="B74" i="4"/>
  <c r="B79" i="4"/>
  <c r="B83" i="4"/>
  <c r="B87" i="4"/>
  <c r="B89" i="4"/>
  <c r="B93" i="4"/>
  <c r="B96" i="4"/>
  <c r="B100" i="4"/>
  <c r="B104" i="4"/>
  <c r="B107" i="4"/>
  <c r="B113" i="4"/>
  <c r="B118" i="4"/>
  <c r="B122" i="4"/>
  <c r="B126" i="4"/>
  <c r="B129" i="4"/>
  <c r="B132" i="4"/>
  <c r="B136" i="4"/>
  <c r="B140" i="4"/>
  <c r="B144" i="4"/>
  <c r="B146" i="4"/>
  <c r="B150" i="4"/>
  <c r="B154" i="4"/>
  <c r="B158" i="4"/>
  <c r="B161" i="4"/>
  <c r="B164" i="4"/>
  <c r="B168" i="4"/>
  <c r="B172" i="4"/>
  <c r="B175" i="4"/>
  <c r="B179" i="4"/>
  <c r="B183" i="4"/>
  <c r="B187" i="4"/>
  <c r="B191" i="4"/>
  <c r="B194" i="4"/>
  <c r="B198" i="4"/>
  <c r="B201" i="4"/>
  <c r="B204" i="4"/>
  <c r="B208" i="4"/>
  <c r="B212" i="4"/>
  <c r="B216" i="4"/>
  <c r="B220" i="4"/>
  <c r="B224" i="4"/>
  <c r="B34" i="4"/>
  <c r="B39" i="4"/>
  <c r="B44" i="4"/>
  <c r="B52" i="4"/>
  <c r="B55" i="4"/>
  <c r="B60" i="4"/>
  <c r="B66" i="4"/>
  <c r="B73" i="4"/>
  <c r="B77" i="4"/>
  <c r="B80" i="4"/>
  <c r="B84" i="4"/>
  <c r="B88" i="4"/>
  <c r="B90" i="4"/>
  <c r="B94" i="4"/>
  <c r="B97" i="4"/>
  <c r="B101" i="4"/>
  <c r="B105" i="4"/>
  <c r="B108" i="4"/>
  <c r="B111" i="4"/>
  <c r="B114" i="4"/>
  <c r="B117" i="4"/>
  <c r="B121" i="4"/>
  <c r="B125" i="4"/>
  <c r="B130" i="4"/>
  <c r="B133" i="4"/>
  <c r="B137" i="4"/>
  <c r="B141" i="4"/>
  <c r="B147" i="4"/>
  <c r="B151" i="4"/>
  <c r="B155" i="4"/>
  <c r="B159" i="4"/>
  <c r="B165" i="4"/>
  <c r="B169" i="4"/>
  <c r="B173" i="4"/>
  <c r="B176" i="4"/>
  <c r="B180" i="4"/>
  <c r="B184" i="4"/>
  <c r="B190" i="4"/>
  <c r="B195" i="4"/>
  <c r="B199" i="4"/>
  <c r="B205" i="4"/>
  <c r="B209" i="4"/>
  <c r="B213" i="4"/>
  <c r="B217" i="4"/>
  <c r="B221" i="4"/>
  <c r="B225" i="4"/>
  <c r="B228" i="4"/>
  <c r="B35" i="4"/>
  <c r="B38" i="4"/>
  <c r="B42" i="4"/>
  <c r="B46" i="4"/>
  <c r="B49" i="4"/>
  <c r="B53" i="4"/>
  <c r="B57" i="4"/>
  <c r="B58" i="4"/>
  <c r="B62" i="4"/>
  <c r="B65" i="4"/>
  <c r="B68" i="4"/>
  <c r="B71" i="4"/>
  <c r="B75" i="4"/>
  <c r="B78" i="4"/>
  <c r="B82" i="4"/>
  <c r="B85" i="4"/>
  <c r="B92" i="4"/>
  <c r="B95" i="4"/>
  <c r="B99" i="4"/>
  <c r="B102" i="4"/>
  <c r="B109" i="4"/>
  <c r="B112" i="4"/>
  <c r="B116" i="4"/>
  <c r="B120" i="4"/>
  <c r="B123" i="4"/>
  <c r="B127" i="4"/>
  <c r="B131" i="4"/>
  <c r="B135" i="4"/>
  <c r="B139" i="4"/>
  <c r="B143" i="4"/>
  <c r="B148" i="4"/>
  <c r="B152" i="4"/>
  <c r="B156" i="4"/>
  <c r="B160" i="4"/>
  <c r="B163" i="4"/>
  <c r="B167" i="4"/>
  <c r="B170" i="4"/>
  <c r="B174" i="4"/>
  <c r="B178" i="4"/>
  <c r="B181" i="4"/>
  <c r="B185" i="4"/>
  <c r="B188" i="4"/>
  <c r="B192" i="4"/>
  <c r="B196" i="4"/>
  <c r="B200" i="4"/>
  <c r="B203" i="4"/>
  <c r="B207" i="4"/>
  <c r="B211" i="4"/>
  <c r="B215" i="4"/>
  <c r="B219" i="4"/>
  <c r="B223" i="4"/>
  <c r="B227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tc={4B60C5BC-3C9F-47DB-9187-2A1DFB66CF7B}</author>
  </authors>
  <commentList>
    <comment ref="B25" authorId="0" shapeId="0" xr:uid="{4B60C5BC-3C9F-47DB-9187-2A1DFB66CF7B}">
      <text>
        <r>
          <rPr>
            <sz val="11"/>
            <color theme="1"/>
            <rFont val="Aptos Narrow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Este valor lo ubica Ud.</t>
        </r>
      </text>
    </comment>
  </commentList>
</comments>
</file>

<file path=xl/sharedStrings.xml><?xml version="1.0" encoding="utf-8"?>
<sst xmlns="http://schemas.openxmlformats.org/spreadsheetml/2006/main" count="71" uniqueCount="28">
  <si>
    <t xml:space="preserve">Descripción </t>
  </si>
  <si>
    <t>Importe</t>
  </si>
  <si>
    <t>Costos Fijos Mensuales</t>
  </si>
  <si>
    <t>Alquiler</t>
  </si>
  <si>
    <t>Seguros</t>
  </si>
  <si>
    <t>Impuestos</t>
  </si>
  <si>
    <t>Costos Variables x Unidad</t>
  </si>
  <si>
    <t>Materia Prima</t>
  </si>
  <si>
    <t>Mano de Obra</t>
  </si>
  <si>
    <t>Costos de Envío</t>
  </si>
  <si>
    <t>Combustible</t>
  </si>
  <si>
    <t>Cantidad de Equilibrio</t>
  </si>
  <si>
    <t>Ingreso de Equilibrio</t>
  </si>
  <si>
    <t>Precio de Venta Unitario</t>
  </si>
  <si>
    <t>Unidades Vendidas</t>
  </si>
  <si>
    <t>Costo Total</t>
  </si>
  <si>
    <t>Ingreso de Ventas</t>
  </si>
  <si>
    <t xml:space="preserve">Total Costos Fijos </t>
  </si>
  <si>
    <t>Total Costo Variable</t>
  </si>
  <si>
    <t>Predio</t>
  </si>
  <si>
    <t>Mano de obra</t>
  </si>
  <si>
    <t>Servicios básicos</t>
  </si>
  <si>
    <t>Publicidad y marketing digital</t>
  </si>
  <si>
    <t>Dominio y mantenimiento de plataforma web de pedidos</t>
  </si>
  <si>
    <t>Utensilios y mantenimiento de cocina</t>
  </si>
  <si>
    <t>Equipos de Seguridad y EPP's</t>
  </si>
  <si>
    <t>Merma</t>
  </si>
  <si>
    <t>Insumos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</si>
</sst>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&quot;$&quot;* #,##0.00_ ;_ &quot;$&quot;* \-#,##0.00_ ;_ &quot;$&quot;* &quot;-&quot;??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1" xfId="0" applyFont="1" applyBorder="1"/>
    <xf numFmtId="0" fontId="0" fillId="0" borderId="1" xfId="0" applyBorder="1"/>
    <xf numFmtId="164" fontId="0" fillId="0" borderId="1" xfId="1" applyFont="1" applyBorder="1"/>
    <xf numFmtId="0" fontId="2" fillId="2" borderId="1" xfId="0" applyFont="1" applyFill="1" applyBorder="1"/>
    <xf numFmtId="164" fontId="2" fillId="2" borderId="1" xfId="1" applyFont="1" applyFill="1" applyBorder="1"/>
    <xf numFmtId="0" fontId="2" fillId="3" borderId="1" xfId="0" applyFont="1" applyFill="1" applyBorder="1"/>
    <xf numFmtId="164" fontId="0" fillId="3" borderId="1" xfId="1" applyFont="1" applyFill="1" applyBorder="1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0" fillId="0" borderId="0" xfId="1" applyFont="1"/>
    <xf numFmtId="164" fontId="2" fillId="0" borderId="1" xfId="1" applyFont="1" applyBorder="1"/>
    <xf numFmtId="164" fontId="0" fillId="0" borderId="1" xfId="1" applyFont="1" applyBorder="1" applyAlignment="1">
      <alignment horizontal="center" vertical="center"/>
    </xf>
    <xf numFmtId="164" fontId="2" fillId="2" borderId="1" xfId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0" fillId="2" borderId="1" xfId="1" applyFon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10/relationships/person" Target="persons/person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Punto de Equilibrio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'Ejercicio Clase'!$B$25</c:f>
              <c:strCache>
                <c:ptCount val="1"/>
                <c:pt idx="0">
                  <c:v> Costo Total 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'Ejercicio Clase'!$A$26:$A$226</c:f>
              <c:numCache>
                <c:formatCode>General</c:formatCode>
                <c:ptCount val="2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</c:numCache>
            </c:numRef>
          </c:xVal>
          <c:yVal>
            <c:numRef>
              <c:f>'Ejercicio Clase'!$B$26:$B$226</c:f>
              <c:numCache>
                <c:formatCode>_ "$"* #,##0.00_ ;_ "$"* \-#,##0.00_ ;_ "$"* "-"??_ ;_ @_ </c:formatCode>
                <c:ptCount val="201"/>
                <c:pt idx="0">
                  <c:v>20000</c:v>
                </c:pt>
                <c:pt idx="1">
                  <c:v>20100</c:v>
                </c:pt>
                <c:pt idx="2">
                  <c:v>20200</c:v>
                </c:pt>
                <c:pt idx="3">
                  <c:v>20300</c:v>
                </c:pt>
                <c:pt idx="4">
                  <c:v>20400</c:v>
                </c:pt>
                <c:pt idx="5">
                  <c:v>20500</c:v>
                </c:pt>
                <c:pt idx="6">
                  <c:v>20600</c:v>
                </c:pt>
                <c:pt idx="7">
                  <c:v>20700</c:v>
                </c:pt>
                <c:pt idx="8">
                  <c:v>20800</c:v>
                </c:pt>
                <c:pt idx="9">
                  <c:v>20900</c:v>
                </c:pt>
                <c:pt idx="10">
                  <c:v>21000</c:v>
                </c:pt>
                <c:pt idx="11">
                  <c:v>21100</c:v>
                </c:pt>
                <c:pt idx="12">
                  <c:v>21200</c:v>
                </c:pt>
                <c:pt idx="13">
                  <c:v>21300</c:v>
                </c:pt>
                <c:pt idx="14">
                  <c:v>21400</c:v>
                </c:pt>
                <c:pt idx="15">
                  <c:v>21500</c:v>
                </c:pt>
                <c:pt idx="16">
                  <c:v>21600</c:v>
                </c:pt>
                <c:pt idx="17">
                  <c:v>21700</c:v>
                </c:pt>
                <c:pt idx="18">
                  <c:v>21800</c:v>
                </c:pt>
                <c:pt idx="19">
                  <c:v>21900</c:v>
                </c:pt>
                <c:pt idx="20">
                  <c:v>22000</c:v>
                </c:pt>
                <c:pt idx="21">
                  <c:v>22100</c:v>
                </c:pt>
                <c:pt idx="22">
                  <c:v>22200</c:v>
                </c:pt>
                <c:pt idx="23">
                  <c:v>22300</c:v>
                </c:pt>
                <c:pt idx="24">
                  <c:v>22400</c:v>
                </c:pt>
                <c:pt idx="25">
                  <c:v>22500</c:v>
                </c:pt>
                <c:pt idx="26">
                  <c:v>22600</c:v>
                </c:pt>
                <c:pt idx="27">
                  <c:v>22700</c:v>
                </c:pt>
                <c:pt idx="28">
                  <c:v>22800</c:v>
                </c:pt>
                <c:pt idx="29">
                  <c:v>22900</c:v>
                </c:pt>
                <c:pt idx="30">
                  <c:v>23000</c:v>
                </c:pt>
                <c:pt idx="31">
                  <c:v>23100</c:v>
                </c:pt>
                <c:pt idx="32">
                  <c:v>23200</c:v>
                </c:pt>
                <c:pt idx="33">
                  <c:v>23300</c:v>
                </c:pt>
                <c:pt idx="34">
                  <c:v>23400</c:v>
                </c:pt>
                <c:pt idx="35">
                  <c:v>23500</c:v>
                </c:pt>
                <c:pt idx="36">
                  <c:v>23600</c:v>
                </c:pt>
                <c:pt idx="37">
                  <c:v>23700</c:v>
                </c:pt>
                <c:pt idx="38">
                  <c:v>23800</c:v>
                </c:pt>
                <c:pt idx="39">
                  <c:v>23900</c:v>
                </c:pt>
                <c:pt idx="40">
                  <c:v>24000</c:v>
                </c:pt>
                <c:pt idx="41">
                  <c:v>24100</c:v>
                </c:pt>
                <c:pt idx="42">
                  <c:v>24200</c:v>
                </c:pt>
                <c:pt idx="43">
                  <c:v>24300</c:v>
                </c:pt>
                <c:pt idx="44">
                  <c:v>24400</c:v>
                </c:pt>
                <c:pt idx="45">
                  <c:v>24500</c:v>
                </c:pt>
                <c:pt idx="46">
                  <c:v>24600</c:v>
                </c:pt>
                <c:pt idx="47">
                  <c:v>24700</c:v>
                </c:pt>
                <c:pt idx="48">
                  <c:v>24800</c:v>
                </c:pt>
                <c:pt idx="49">
                  <c:v>24900</c:v>
                </c:pt>
                <c:pt idx="50">
                  <c:v>25000</c:v>
                </c:pt>
                <c:pt idx="51">
                  <c:v>25100</c:v>
                </c:pt>
                <c:pt idx="52">
                  <c:v>25200</c:v>
                </c:pt>
                <c:pt idx="53">
                  <c:v>25300</c:v>
                </c:pt>
                <c:pt idx="54">
                  <c:v>25400</c:v>
                </c:pt>
                <c:pt idx="55">
                  <c:v>25500</c:v>
                </c:pt>
                <c:pt idx="56">
                  <c:v>25600</c:v>
                </c:pt>
                <c:pt idx="57">
                  <c:v>25700</c:v>
                </c:pt>
                <c:pt idx="58">
                  <c:v>25800</c:v>
                </c:pt>
                <c:pt idx="59">
                  <c:v>25900</c:v>
                </c:pt>
                <c:pt idx="60">
                  <c:v>26000</c:v>
                </c:pt>
                <c:pt idx="61">
                  <c:v>26100</c:v>
                </c:pt>
                <c:pt idx="62">
                  <c:v>26200</c:v>
                </c:pt>
                <c:pt idx="63">
                  <c:v>26300</c:v>
                </c:pt>
                <c:pt idx="64">
                  <c:v>26400</c:v>
                </c:pt>
                <c:pt idx="65">
                  <c:v>26500</c:v>
                </c:pt>
                <c:pt idx="66">
                  <c:v>26600</c:v>
                </c:pt>
                <c:pt idx="67">
                  <c:v>26700</c:v>
                </c:pt>
                <c:pt idx="68">
                  <c:v>26800</c:v>
                </c:pt>
                <c:pt idx="69">
                  <c:v>26900</c:v>
                </c:pt>
                <c:pt idx="70">
                  <c:v>27000</c:v>
                </c:pt>
                <c:pt idx="71">
                  <c:v>27100</c:v>
                </c:pt>
                <c:pt idx="72">
                  <c:v>27200</c:v>
                </c:pt>
                <c:pt idx="73">
                  <c:v>27300</c:v>
                </c:pt>
                <c:pt idx="74">
                  <c:v>27400</c:v>
                </c:pt>
                <c:pt idx="75">
                  <c:v>27500</c:v>
                </c:pt>
                <c:pt idx="76">
                  <c:v>27600</c:v>
                </c:pt>
                <c:pt idx="77">
                  <c:v>27700</c:v>
                </c:pt>
                <c:pt idx="78">
                  <c:v>27800</c:v>
                </c:pt>
                <c:pt idx="79">
                  <c:v>27900</c:v>
                </c:pt>
                <c:pt idx="80">
                  <c:v>28000</c:v>
                </c:pt>
                <c:pt idx="81">
                  <c:v>28100</c:v>
                </c:pt>
                <c:pt idx="82">
                  <c:v>28200</c:v>
                </c:pt>
                <c:pt idx="83">
                  <c:v>28300</c:v>
                </c:pt>
                <c:pt idx="84">
                  <c:v>28400</c:v>
                </c:pt>
                <c:pt idx="85">
                  <c:v>28500</c:v>
                </c:pt>
                <c:pt idx="86">
                  <c:v>28600</c:v>
                </c:pt>
                <c:pt idx="87">
                  <c:v>28700</c:v>
                </c:pt>
                <c:pt idx="88">
                  <c:v>28800</c:v>
                </c:pt>
                <c:pt idx="89">
                  <c:v>28900</c:v>
                </c:pt>
                <c:pt idx="90">
                  <c:v>29000</c:v>
                </c:pt>
                <c:pt idx="91">
                  <c:v>29100</c:v>
                </c:pt>
                <c:pt idx="92">
                  <c:v>29200</c:v>
                </c:pt>
                <c:pt idx="93">
                  <c:v>29300</c:v>
                </c:pt>
                <c:pt idx="94">
                  <c:v>29400</c:v>
                </c:pt>
                <c:pt idx="95">
                  <c:v>29500</c:v>
                </c:pt>
                <c:pt idx="96">
                  <c:v>29600</c:v>
                </c:pt>
                <c:pt idx="97">
                  <c:v>29700</c:v>
                </c:pt>
                <c:pt idx="98">
                  <c:v>29800</c:v>
                </c:pt>
                <c:pt idx="99">
                  <c:v>29900</c:v>
                </c:pt>
                <c:pt idx="100">
                  <c:v>30000</c:v>
                </c:pt>
                <c:pt idx="101">
                  <c:v>30100</c:v>
                </c:pt>
                <c:pt idx="102">
                  <c:v>30200</c:v>
                </c:pt>
                <c:pt idx="103">
                  <c:v>30300</c:v>
                </c:pt>
                <c:pt idx="104">
                  <c:v>30400</c:v>
                </c:pt>
                <c:pt idx="105">
                  <c:v>30500</c:v>
                </c:pt>
                <c:pt idx="106">
                  <c:v>30600</c:v>
                </c:pt>
                <c:pt idx="107">
                  <c:v>30700</c:v>
                </c:pt>
                <c:pt idx="108">
                  <c:v>30800</c:v>
                </c:pt>
                <c:pt idx="109">
                  <c:v>30900</c:v>
                </c:pt>
                <c:pt idx="110">
                  <c:v>31000</c:v>
                </c:pt>
                <c:pt idx="111">
                  <c:v>31100</c:v>
                </c:pt>
                <c:pt idx="112">
                  <c:v>31200</c:v>
                </c:pt>
                <c:pt idx="113">
                  <c:v>31300</c:v>
                </c:pt>
                <c:pt idx="114">
                  <c:v>31400</c:v>
                </c:pt>
                <c:pt idx="115">
                  <c:v>31500</c:v>
                </c:pt>
                <c:pt idx="116">
                  <c:v>31600</c:v>
                </c:pt>
                <c:pt idx="117">
                  <c:v>31700</c:v>
                </c:pt>
                <c:pt idx="118">
                  <c:v>31800</c:v>
                </c:pt>
                <c:pt idx="119">
                  <c:v>31900</c:v>
                </c:pt>
                <c:pt idx="120">
                  <c:v>32000</c:v>
                </c:pt>
                <c:pt idx="121">
                  <c:v>32100</c:v>
                </c:pt>
                <c:pt idx="122">
                  <c:v>32200</c:v>
                </c:pt>
                <c:pt idx="123">
                  <c:v>32300</c:v>
                </c:pt>
                <c:pt idx="124">
                  <c:v>32400</c:v>
                </c:pt>
                <c:pt idx="125">
                  <c:v>32500</c:v>
                </c:pt>
                <c:pt idx="126">
                  <c:v>32600</c:v>
                </c:pt>
                <c:pt idx="127">
                  <c:v>32700</c:v>
                </c:pt>
                <c:pt idx="128">
                  <c:v>32800</c:v>
                </c:pt>
                <c:pt idx="129">
                  <c:v>32900</c:v>
                </c:pt>
                <c:pt idx="130">
                  <c:v>33000</c:v>
                </c:pt>
                <c:pt idx="131">
                  <c:v>33100</c:v>
                </c:pt>
                <c:pt idx="132">
                  <c:v>33200</c:v>
                </c:pt>
                <c:pt idx="133">
                  <c:v>33300</c:v>
                </c:pt>
                <c:pt idx="134">
                  <c:v>33400</c:v>
                </c:pt>
                <c:pt idx="135">
                  <c:v>33500</c:v>
                </c:pt>
                <c:pt idx="136">
                  <c:v>33600</c:v>
                </c:pt>
                <c:pt idx="137">
                  <c:v>33700</c:v>
                </c:pt>
                <c:pt idx="138">
                  <c:v>33800</c:v>
                </c:pt>
                <c:pt idx="139">
                  <c:v>33900</c:v>
                </c:pt>
                <c:pt idx="140">
                  <c:v>34000</c:v>
                </c:pt>
                <c:pt idx="141">
                  <c:v>34100</c:v>
                </c:pt>
                <c:pt idx="142">
                  <c:v>34200</c:v>
                </c:pt>
                <c:pt idx="143">
                  <c:v>34300</c:v>
                </c:pt>
                <c:pt idx="144">
                  <c:v>34400</c:v>
                </c:pt>
                <c:pt idx="145">
                  <c:v>34500</c:v>
                </c:pt>
                <c:pt idx="146">
                  <c:v>34600</c:v>
                </c:pt>
                <c:pt idx="147">
                  <c:v>34700</c:v>
                </c:pt>
                <c:pt idx="148">
                  <c:v>34800</c:v>
                </c:pt>
                <c:pt idx="149">
                  <c:v>34900</c:v>
                </c:pt>
                <c:pt idx="150">
                  <c:v>35000</c:v>
                </c:pt>
                <c:pt idx="151">
                  <c:v>35100</c:v>
                </c:pt>
                <c:pt idx="152">
                  <c:v>35200</c:v>
                </c:pt>
                <c:pt idx="153">
                  <c:v>35300</c:v>
                </c:pt>
                <c:pt idx="154">
                  <c:v>35400</c:v>
                </c:pt>
                <c:pt idx="155">
                  <c:v>35500</c:v>
                </c:pt>
                <c:pt idx="156">
                  <c:v>35600</c:v>
                </c:pt>
                <c:pt idx="157">
                  <c:v>35700</c:v>
                </c:pt>
                <c:pt idx="158">
                  <c:v>35800</c:v>
                </c:pt>
                <c:pt idx="159">
                  <c:v>35900</c:v>
                </c:pt>
                <c:pt idx="160">
                  <c:v>36000</c:v>
                </c:pt>
                <c:pt idx="161">
                  <c:v>36100</c:v>
                </c:pt>
                <c:pt idx="162">
                  <c:v>36200</c:v>
                </c:pt>
                <c:pt idx="163">
                  <c:v>36300</c:v>
                </c:pt>
                <c:pt idx="164">
                  <c:v>36400</c:v>
                </c:pt>
                <c:pt idx="165">
                  <c:v>36500</c:v>
                </c:pt>
                <c:pt idx="166">
                  <c:v>36600</c:v>
                </c:pt>
                <c:pt idx="167">
                  <c:v>36700</c:v>
                </c:pt>
                <c:pt idx="168">
                  <c:v>36800</c:v>
                </c:pt>
                <c:pt idx="169">
                  <c:v>36900</c:v>
                </c:pt>
                <c:pt idx="170">
                  <c:v>37000</c:v>
                </c:pt>
                <c:pt idx="171">
                  <c:v>37100</c:v>
                </c:pt>
                <c:pt idx="172">
                  <c:v>37200</c:v>
                </c:pt>
                <c:pt idx="173">
                  <c:v>37300</c:v>
                </c:pt>
                <c:pt idx="174">
                  <c:v>37400</c:v>
                </c:pt>
                <c:pt idx="175">
                  <c:v>37500</c:v>
                </c:pt>
                <c:pt idx="176">
                  <c:v>37600</c:v>
                </c:pt>
                <c:pt idx="177">
                  <c:v>37700</c:v>
                </c:pt>
                <c:pt idx="178">
                  <c:v>37800</c:v>
                </c:pt>
                <c:pt idx="179">
                  <c:v>37900</c:v>
                </c:pt>
                <c:pt idx="180">
                  <c:v>38000</c:v>
                </c:pt>
                <c:pt idx="181">
                  <c:v>38100</c:v>
                </c:pt>
                <c:pt idx="182">
                  <c:v>38200</c:v>
                </c:pt>
                <c:pt idx="183">
                  <c:v>38300</c:v>
                </c:pt>
                <c:pt idx="184">
                  <c:v>38400</c:v>
                </c:pt>
                <c:pt idx="185">
                  <c:v>38500</c:v>
                </c:pt>
                <c:pt idx="186">
                  <c:v>38600</c:v>
                </c:pt>
                <c:pt idx="187">
                  <c:v>38700</c:v>
                </c:pt>
                <c:pt idx="188">
                  <c:v>38800</c:v>
                </c:pt>
                <c:pt idx="189">
                  <c:v>38900</c:v>
                </c:pt>
                <c:pt idx="190">
                  <c:v>39000</c:v>
                </c:pt>
                <c:pt idx="191">
                  <c:v>39100</c:v>
                </c:pt>
                <c:pt idx="192">
                  <c:v>39200</c:v>
                </c:pt>
                <c:pt idx="193">
                  <c:v>39300</c:v>
                </c:pt>
                <c:pt idx="194">
                  <c:v>39400</c:v>
                </c:pt>
                <c:pt idx="195">
                  <c:v>39500</c:v>
                </c:pt>
                <c:pt idx="196">
                  <c:v>39600</c:v>
                </c:pt>
                <c:pt idx="197">
                  <c:v>39700</c:v>
                </c:pt>
                <c:pt idx="198">
                  <c:v>39800</c:v>
                </c:pt>
                <c:pt idx="199">
                  <c:v>39900</c:v>
                </c:pt>
                <c:pt idx="200">
                  <c:v>40000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DC4-4C03-A51F-EC372355B934}"/>
            </c:ext>
          </c:extLst>
        </c:ser>
        <c:ser>
          <c:idx val="1"/>
          <c:order val="1"/>
          <c:tx>
            <c:strRef>
              <c:f>'Ejercicio Clase'!$C$25</c:f>
              <c:strCache>
                <c:ptCount val="1"/>
                <c:pt idx="0">
                  <c:v>Ingreso de Ventas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Lbl>
              <c:idx val="1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DC4-4C03-A51F-EC372355B93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'Ejercicio Clase'!$A$26:$A$226</c:f>
              <c:numCache>
                <c:formatCode>General</c:formatCode>
                <c:ptCount val="2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</c:numCache>
            </c:numRef>
          </c:xVal>
          <c:yVal>
            <c:numRef>
              <c:f>'Ejercicio Clase'!$C$26:$C$226</c:f>
              <c:numCache>
                <c:formatCode>_ "$"* #,##0.00_ ;_ "$"* \-#,##0.00_ ;_ "$"* "-"??_ ;_ @_ </c:formatCode>
                <c:ptCount val="201"/>
                <c:pt idx="0">
                  <c:v>0</c:v>
                </c:pt>
                <c:pt idx="1">
                  <c:v>300</c:v>
                </c:pt>
                <c:pt idx="2">
                  <c:v>600</c:v>
                </c:pt>
                <c:pt idx="3">
                  <c:v>900</c:v>
                </c:pt>
                <c:pt idx="4">
                  <c:v>1200</c:v>
                </c:pt>
                <c:pt idx="5">
                  <c:v>1500</c:v>
                </c:pt>
                <c:pt idx="6">
                  <c:v>1800</c:v>
                </c:pt>
                <c:pt idx="7">
                  <c:v>2100</c:v>
                </c:pt>
                <c:pt idx="8">
                  <c:v>2400</c:v>
                </c:pt>
                <c:pt idx="9">
                  <c:v>2700</c:v>
                </c:pt>
                <c:pt idx="10">
                  <c:v>3000</c:v>
                </c:pt>
                <c:pt idx="11">
                  <c:v>3300</c:v>
                </c:pt>
                <c:pt idx="12">
                  <c:v>3600</c:v>
                </c:pt>
                <c:pt idx="13">
                  <c:v>3900</c:v>
                </c:pt>
                <c:pt idx="14">
                  <c:v>4200</c:v>
                </c:pt>
                <c:pt idx="15">
                  <c:v>4500</c:v>
                </c:pt>
                <c:pt idx="16">
                  <c:v>4800</c:v>
                </c:pt>
                <c:pt idx="17">
                  <c:v>5100</c:v>
                </c:pt>
                <c:pt idx="18">
                  <c:v>5400</c:v>
                </c:pt>
                <c:pt idx="19">
                  <c:v>5700</c:v>
                </c:pt>
                <c:pt idx="20">
                  <c:v>6000</c:v>
                </c:pt>
                <c:pt idx="21">
                  <c:v>6300</c:v>
                </c:pt>
                <c:pt idx="22">
                  <c:v>6600</c:v>
                </c:pt>
                <c:pt idx="23">
                  <c:v>6900</c:v>
                </c:pt>
                <c:pt idx="24">
                  <c:v>7200</c:v>
                </c:pt>
                <c:pt idx="25">
                  <c:v>7500</c:v>
                </c:pt>
                <c:pt idx="26">
                  <c:v>7800</c:v>
                </c:pt>
                <c:pt idx="27">
                  <c:v>8100</c:v>
                </c:pt>
                <c:pt idx="28">
                  <c:v>8400</c:v>
                </c:pt>
                <c:pt idx="29">
                  <c:v>8700</c:v>
                </c:pt>
                <c:pt idx="30">
                  <c:v>9000</c:v>
                </c:pt>
                <c:pt idx="31">
                  <c:v>9300</c:v>
                </c:pt>
                <c:pt idx="32">
                  <c:v>9600</c:v>
                </c:pt>
                <c:pt idx="33">
                  <c:v>9900</c:v>
                </c:pt>
                <c:pt idx="34">
                  <c:v>10200</c:v>
                </c:pt>
                <c:pt idx="35">
                  <c:v>10500</c:v>
                </c:pt>
                <c:pt idx="36">
                  <c:v>10800</c:v>
                </c:pt>
                <c:pt idx="37">
                  <c:v>11100</c:v>
                </c:pt>
                <c:pt idx="38">
                  <c:v>11400</c:v>
                </c:pt>
                <c:pt idx="39">
                  <c:v>11700</c:v>
                </c:pt>
                <c:pt idx="40">
                  <c:v>12000</c:v>
                </c:pt>
                <c:pt idx="41">
                  <c:v>12300</c:v>
                </c:pt>
                <c:pt idx="42">
                  <c:v>12600</c:v>
                </c:pt>
                <c:pt idx="43">
                  <c:v>12900</c:v>
                </c:pt>
                <c:pt idx="44">
                  <c:v>13200</c:v>
                </c:pt>
                <c:pt idx="45">
                  <c:v>13500</c:v>
                </c:pt>
                <c:pt idx="46">
                  <c:v>13800</c:v>
                </c:pt>
                <c:pt idx="47">
                  <c:v>14100</c:v>
                </c:pt>
                <c:pt idx="48">
                  <c:v>14400</c:v>
                </c:pt>
                <c:pt idx="49">
                  <c:v>14700</c:v>
                </c:pt>
                <c:pt idx="50">
                  <c:v>15000</c:v>
                </c:pt>
                <c:pt idx="51">
                  <c:v>15300</c:v>
                </c:pt>
                <c:pt idx="52">
                  <c:v>15600</c:v>
                </c:pt>
                <c:pt idx="53">
                  <c:v>15900</c:v>
                </c:pt>
                <c:pt idx="54">
                  <c:v>16200</c:v>
                </c:pt>
                <c:pt idx="55">
                  <c:v>16500</c:v>
                </c:pt>
                <c:pt idx="56">
                  <c:v>16800</c:v>
                </c:pt>
                <c:pt idx="57">
                  <c:v>17100</c:v>
                </c:pt>
                <c:pt idx="58">
                  <c:v>17400</c:v>
                </c:pt>
                <c:pt idx="59">
                  <c:v>17700</c:v>
                </c:pt>
                <c:pt idx="60">
                  <c:v>18000</c:v>
                </c:pt>
                <c:pt idx="61">
                  <c:v>18300</c:v>
                </c:pt>
                <c:pt idx="62">
                  <c:v>18600</c:v>
                </c:pt>
                <c:pt idx="63">
                  <c:v>18900</c:v>
                </c:pt>
                <c:pt idx="64">
                  <c:v>19200</c:v>
                </c:pt>
                <c:pt idx="65">
                  <c:v>19500</c:v>
                </c:pt>
                <c:pt idx="66">
                  <c:v>19800</c:v>
                </c:pt>
                <c:pt idx="67">
                  <c:v>20100</c:v>
                </c:pt>
                <c:pt idx="68">
                  <c:v>20400</c:v>
                </c:pt>
                <c:pt idx="69">
                  <c:v>20700</c:v>
                </c:pt>
                <c:pt idx="70">
                  <c:v>21000</c:v>
                </c:pt>
                <c:pt idx="71">
                  <c:v>21300</c:v>
                </c:pt>
                <c:pt idx="72">
                  <c:v>21600</c:v>
                </c:pt>
                <c:pt idx="73">
                  <c:v>21900</c:v>
                </c:pt>
                <c:pt idx="74">
                  <c:v>22200</c:v>
                </c:pt>
                <c:pt idx="75">
                  <c:v>22500</c:v>
                </c:pt>
                <c:pt idx="76">
                  <c:v>22800</c:v>
                </c:pt>
                <c:pt idx="77">
                  <c:v>23100</c:v>
                </c:pt>
                <c:pt idx="78">
                  <c:v>23400</c:v>
                </c:pt>
                <c:pt idx="79">
                  <c:v>23700</c:v>
                </c:pt>
                <c:pt idx="80">
                  <c:v>24000</c:v>
                </c:pt>
                <c:pt idx="81">
                  <c:v>24300</c:v>
                </c:pt>
                <c:pt idx="82">
                  <c:v>24600</c:v>
                </c:pt>
                <c:pt idx="83">
                  <c:v>24900</c:v>
                </c:pt>
                <c:pt idx="84">
                  <c:v>25200</c:v>
                </c:pt>
                <c:pt idx="85">
                  <c:v>25500</c:v>
                </c:pt>
                <c:pt idx="86">
                  <c:v>25800</c:v>
                </c:pt>
                <c:pt idx="87">
                  <c:v>26100</c:v>
                </c:pt>
                <c:pt idx="88">
                  <c:v>26400</c:v>
                </c:pt>
                <c:pt idx="89">
                  <c:v>26700</c:v>
                </c:pt>
                <c:pt idx="90">
                  <c:v>27000</c:v>
                </c:pt>
                <c:pt idx="91">
                  <c:v>27300</c:v>
                </c:pt>
                <c:pt idx="92">
                  <c:v>27600</c:v>
                </c:pt>
                <c:pt idx="93">
                  <c:v>27900</c:v>
                </c:pt>
                <c:pt idx="94">
                  <c:v>28200</c:v>
                </c:pt>
                <c:pt idx="95">
                  <c:v>28500</c:v>
                </c:pt>
                <c:pt idx="96">
                  <c:v>28800</c:v>
                </c:pt>
                <c:pt idx="97">
                  <c:v>29100</c:v>
                </c:pt>
                <c:pt idx="98">
                  <c:v>29400</c:v>
                </c:pt>
                <c:pt idx="99">
                  <c:v>29700</c:v>
                </c:pt>
                <c:pt idx="100">
                  <c:v>30000</c:v>
                </c:pt>
                <c:pt idx="101">
                  <c:v>30300</c:v>
                </c:pt>
                <c:pt idx="102">
                  <c:v>30600</c:v>
                </c:pt>
                <c:pt idx="103">
                  <c:v>30900</c:v>
                </c:pt>
                <c:pt idx="104">
                  <c:v>31200</c:v>
                </c:pt>
                <c:pt idx="105">
                  <c:v>31500</c:v>
                </c:pt>
                <c:pt idx="106">
                  <c:v>31800</c:v>
                </c:pt>
                <c:pt idx="107">
                  <c:v>32100</c:v>
                </c:pt>
                <c:pt idx="108">
                  <c:v>32400</c:v>
                </c:pt>
                <c:pt idx="109">
                  <c:v>32700</c:v>
                </c:pt>
                <c:pt idx="110">
                  <c:v>33000</c:v>
                </c:pt>
                <c:pt idx="111">
                  <c:v>33300</c:v>
                </c:pt>
                <c:pt idx="112">
                  <c:v>33600</c:v>
                </c:pt>
                <c:pt idx="113">
                  <c:v>33900</c:v>
                </c:pt>
                <c:pt idx="114">
                  <c:v>34200</c:v>
                </c:pt>
                <c:pt idx="115">
                  <c:v>34500</c:v>
                </c:pt>
                <c:pt idx="116">
                  <c:v>34800</c:v>
                </c:pt>
                <c:pt idx="117">
                  <c:v>35100</c:v>
                </c:pt>
                <c:pt idx="118">
                  <c:v>35400</c:v>
                </c:pt>
                <c:pt idx="119">
                  <c:v>35700</c:v>
                </c:pt>
                <c:pt idx="120">
                  <c:v>36000</c:v>
                </c:pt>
                <c:pt idx="121">
                  <c:v>36300</c:v>
                </c:pt>
                <c:pt idx="122">
                  <c:v>36600</c:v>
                </c:pt>
                <c:pt idx="123">
                  <c:v>36900</c:v>
                </c:pt>
                <c:pt idx="124">
                  <c:v>37200</c:v>
                </c:pt>
                <c:pt idx="125">
                  <c:v>37500</c:v>
                </c:pt>
                <c:pt idx="126">
                  <c:v>37800</c:v>
                </c:pt>
                <c:pt idx="127">
                  <c:v>38100</c:v>
                </c:pt>
                <c:pt idx="128">
                  <c:v>38400</c:v>
                </c:pt>
                <c:pt idx="129">
                  <c:v>38700</c:v>
                </c:pt>
                <c:pt idx="130">
                  <c:v>39000</c:v>
                </c:pt>
                <c:pt idx="131">
                  <c:v>39300</c:v>
                </c:pt>
                <c:pt idx="132">
                  <c:v>39600</c:v>
                </c:pt>
                <c:pt idx="133">
                  <c:v>39900</c:v>
                </c:pt>
                <c:pt idx="134">
                  <c:v>40200</c:v>
                </c:pt>
                <c:pt idx="135">
                  <c:v>40500</c:v>
                </c:pt>
                <c:pt idx="136">
                  <c:v>40800</c:v>
                </c:pt>
                <c:pt idx="137">
                  <c:v>41100</c:v>
                </c:pt>
                <c:pt idx="138">
                  <c:v>41400</c:v>
                </c:pt>
                <c:pt idx="139">
                  <c:v>41700</c:v>
                </c:pt>
                <c:pt idx="140">
                  <c:v>42000</c:v>
                </c:pt>
                <c:pt idx="141">
                  <c:v>42300</c:v>
                </c:pt>
                <c:pt idx="142">
                  <c:v>42600</c:v>
                </c:pt>
                <c:pt idx="143">
                  <c:v>42900</c:v>
                </c:pt>
                <c:pt idx="144">
                  <c:v>43200</c:v>
                </c:pt>
                <c:pt idx="145">
                  <c:v>43500</c:v>
                </c:pt>
                <c:pt idx="146">
                  <c:v>43800</c:v>
                </c:pt>
                <c:pt idx="147">
                  <c:v>44100</c:v>
                </c:pt>
                <c:pt idx="148">
                  <c:v>44400</c:v>
                </c:pt>
                <c:pt idx="149">
                  <c:v>44700</c:v>
                </c:pt>
                <c:pt idx="150">
                  <c:v>45000</c:v>
                </c:pt>
                <c:pt idx="151">
                  <c:v>45300</c:v>
                </c:pt>
                <c:pt idx="152">
                  <c:v>45600</c:v>
                </c:pt>
                <c:pt idx="153">
                  <c:v>45900</c:v>
                </c:pt>
                <c:pt idx="154">
                  <c:v>46200</c:v>
                </c:pt>
                <c:pt idx="155">
                  <c:v>46500</c:v>
                </c:pt>
                <c:pt idx="156">
                  <c:v>46800</c:v>
                </c:pt>
                <c:pt idx="157">
                  <c:v>47100</c:v>
                </c:pt>
                <c:pt idx="158">
                  <c:v>47400</c:v>
                </c:pt>
                <c:pt idx="159">
                  <c:v>47700</c:v>
                </c:pt>
                <c:pt idx="160">
                  <c:v>48000</c:v>
                </c:pt>
                <c:pt idx="161">
                  <c:v>48300</c:v>
                </c:pt>
                <c:pt idx="162">
                  <c:v>48600</c:v>
                </c:pt>
                <c:pt idx="163">
                  <c:v>48900</c:v>
                </c:pt>
                <c:pt idx="164">
                  <c:v>49200</c:v>
                </c:pt>
                <c:pt idx="165">
                  <c:v>49500</c:v>
                </c:pt>
                <c:pt idx="166">
                  <c:v>49800</c:v>
                </c:pt>
                <c:pt idx="167">
                  <c:v>50100</c:v>
                </c:pt>
                <c:pt idx="168">
                  <c:v>50400</c:v>
                </c:pt>
                <c:pt idx="169">
                  <c:v>50700</c:v>
                </c:pt>
                <c:pt idx="170">
                  <c:v>51000</c:v>
                </c:pt>
                <c:pt idx="171">
                  <c:v>51300</c:v>
                </c:pt>
                <c:pt idx="172">
                  <c:v>51600</c:v>
                </c:pt>
                <c:pt idx="173">
                  <c:v>51900</c:v>
                </c:pt>
                <c:pt idx="174">
                  <c:v>52200</c:v>
                </c:pt>
                <c:pt idx="175">
                  <c:v>52500</c:v>
                </c:pt>
                <c:pt idx="176">
                  <c:v>52800</c:v>
                </c:pt>
                <c:pt idx="177">
                  <c:v>53100</c:v>
                </c:pt>
                <c:pt idx="178">
                  <c:v>53400</c:v>
                </c:pt>
                <c:pt idx="179">
                  <c:v>53700</c:v>
                </c:pt>
                <c:pt idx="180">
                  <c:v>54000</c:v>
                </c:pt>
                <c:pt idx="181">
                  <c:v>54300</c:v>
                </c:pt>
                <c:pt idx="182">
                  <c:v>54600</c:v>
                </c:pt>
                <c:pt idx="183">
                  <c:v>54900</c:v>
                </c:pt>
                <c:pt idx="184">
                  <c:v>55200</c:v>
                </c:pt>
                <c:pt idx="185">
                  <c:v>55500</c:v>
                </c:pt>
                <c:pt idx="186">
                  <c:v>55800</c:v>
                </c:pt>
                <c:pt idx="187">
                  <c:v>56100</c:v>
                </c:pt>
                <c:pt idx="188">
                  <c:v>56400</c:v>
                </c:pt>
                <c:pt idx="189">
                  <c:v>56700</c:v>
                </c:pt>
                <c:pt idx="190">
                  <c:v>57000</c:v>
                </c:pt>
                <c:pt idx="191">
                  <c:v>57300</c:v>
                </c:pt>
                <c:pt idx="192">
                  <c:v>57600</c:v>
                </c:pt>
                <c:pt idx="193">
                  <c:v>57900</c:v>
                </c:pt>
                <c:pt idx="194">
                  <c:v>58200</c:v>
                </c:pt>
                <c:pt idx="195">
                  <c:v>58500</c:v>
                </c:pt>
                <c:pt idx="196">
                  <c:v>58800</c:v>
                </c:pt>
                <c:pt idx="197">
                  <c:v>59100</c:v>
                </c:pt>
                <c:pt idx="198">
                  <c:v>59400</c:v>
                </c:pt>
                <c:pt idx="199">
                  <c:v>59700</c:v>
                </c:pt>
                <c:pt idx="200">
                  <c:v>60000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DC4-4C03-A51F-EC372355B9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0370848"/>
        <c:axId val="1710371328"/>
      </c:scatterChart>
      <c:valAx>
        <c:axId val="1710370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710371328"/>
        <c:crosses val="autoZero"/>
        <c:crossBetween val="midCat"/>
      </c:valAx>
      <c:valAx>
        <c:axId val="171037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_ &quot;$&quot;* #,##0.00_ ;_ &quot;$&quot;* \-#,##0.00_ ;_ &quot;$&quot;* &quot;-&quot;??_ ;_ @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7103708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Punto</a:t>
            </a:r>
            <a:r>
              <a:rPr lang="es-EC" baseline="0"/>
              <a:t> de equilibrio</a:t>
            </a:r>
            <a:endParaRPr lang="es-EC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>
        <c:manualLayout>
          <c:layoutTarget val="inner"/>
          <c:xMode val="edge"/>
          <c:yMode val="edge"/>
          <c:x val="0.13603609157396251"/>
          <c:y val="0.23764100138743954"/>
          <c:w val="0.81689392028843366"/>
          <c:h val="0.6960827659386329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'Ejercicio 2'!$B$29</c:f>
              <c:strCache>
                <c:ptCount val="1"/>
                <c:pt idx="0">
                  <c:v> Costo Total 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'Ejercicio 2'!$A$30:$A$230</c:f>
              <c:numCache>
                <c:formatCode>General</c:formatCode>
                <c:ptCount val="2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</c:numCache>
            </c:numRef>
          </c:xVal>
          <c:yVal>
            <c:numRef>
              <c:f>'Ejercicio 2'!$B$30:$B$230</c:f>
              <c:numCache>
                <c:formatCode>_ "$"* #,##0.00_ ;_ "$"* \-#,##0.00_ ;_ "$"* "-"??_ ;_ @_ </c:formatCode>
                <c:ptCount val="201"/>
                <c:pt idx="0">
                  <c:v>590.55999999999995</c:v>
                </c:pt>
                <c:pt idx="1">
                  <c:v>593.16</c:v>
                </c:pt>
                <c:pt idx="2">
                  <c:v>595.76</c:v>
                </c:pt>
                <c:pt idx="3">
                  <c:v>598.3599999999999</c:v>
                </c:pt>
                <c:pt idx="4">
                  <c:v>600.95999999999992</c:v>
                </c:pt>
                <c:pt idx="5">
                  <c:v>603.55999999999995</c:v>
                </c:pt>
                <c:pt idx="6">
                  <c:v>606.16</c:v>
                </c:pt>
                <c:pt idx="7">
                  <c:v>608.76</c:v>
                </c:pt>
                <c:pt idx="8">
                  <c:v>611.3599999999999</c:v>
                </c:pt>
                <c:pt idx="9">
                  <c:v>613.95999999999992</c:v>
                </c:pt>
                <c:pt idx="10">
                  <c:v>616.55999999999995</c:v>
                </c:pt>
                <c:pt idx="11">
                  <c:v>619.16</c:v>
                </c:pt>
                <c:pt idx="12">
                  <c:v>621.76</c:v>
                </c:pt>
                <c:pt idx="13">
                  <c:v>624.3599999999999</c:v>
                </c:pt>
                <c:pt idx="14">
                  <c:v>626.95999999999992</c:v>
                </c:pt>
                <c:pt idx="15">
                  <c:v>629.55999999999995</c:v>
                </c:pt>
                <c:pt idx="16">
                  <c:v>632.16</c:v>
                </c:pt>
                <c:pt idx="17">
                  <c:v>634.76</c:v>
                </c:pt>
                <c:pt idx="18">
                  <c:v>637.3599999999999</c:v>
                </c:pt>
                <c:pt idx="19">
                  <c:v>639.95999999999992</c:v>
                </c:pt>
                <c:pt idx="20">
                  <c:v>642.55999999999995</c:v>
                </c:pt>
                <c:pt idx="21">
                  <c:v>645.16</c:v>
                </c:pt>
                <c:pt idx="22">
                  <c:v>647.76</c:v>
                </c:pt>
                <c:pt idx="23">
                  <c:v>650.3599999999999</c:v>
                </c:pt>
                <c:pt idx="24">
                  <c:v>652.95999999999992</c:v>
                </c:pt>
                <c:pt idx="25">
                  <c:v>655.56</c:v>
                </c:pt>
                <c:pt idx="26">
                  <c:v>658.16</c:v>
                </c:pt>
                <c:pt idx="27">
                  <c:v>660.76</c:v>
                </c:pt>
                <c:pt idx="28">
                  <c:v>663.3599999999999</c:v>
                </c:pt>
                <c:pt idx="29">
                  <c:v>665.95999999999992</c:v>
                </c:pt>
                <c:pt idx="30">
                  <c:v>668.56</c:v>
                </c:pt>
                <c:pt idx="31">
                  <c:v>671.16</c:v>
                </c:pt>
                <c:pt idx="32">
                  <c:v>673.76</c:v>
                </c:pt>
                <c:pt idx="33">
                  <c:v>676.3599999999999</c:v>
                </c:pt>
                <c:pt idx="34">
                  <c:v>678.95999999999992</c:v>
                </c:pt>
                <c:pt idx="35">
                  <c:v>681.56</c:v>
                </c:pt>
                <c:pt idx="36">
                  <c:v>684.16</c:v>
                </c:pt>
                <c:pt idx="37">
                  <c:v>686.76</c:v>
                </c:pt>
                <c:pt idx="38">
                  <c:v>689.3599999999999</c:v>
                </c:pt>
                <c:pt idx="39">
                  <c:v>691.95999999999992</c:v>
                </c:pt>
                <c:pt idx="40">
                  <c:v>694.56</c:v>
                </c:pt>
                <c:pt idx="41">
                  <c:v>697.16</c:v>
                </c:pt>
                <c:pt idx="42">
                  <c:v>699.76</c:v>
                </c:pt>
                <c:pt idx="43">
                  <c:v>702.3599999999999</c:v>
                </c:pt>
                <c:pt idx="44">
                  <c:v>704.95999999999992</c:v>
                </c:pt>
                <c:pt idx="45">
                  <c:v>707.56</c:v>
                </c:pt>
                <c:pt idx="46">
                  <c:v>710.16</c:v>
                </c:pt>
                <c:pt idx="47">
                  <c:v>712.76</c:v>
                </c:pt>
                <c:pt idx="48">
                  <c:v>715.3599999999999</c:v>
                </c:pt>
                <c:pt idx="49">
                  <c:v>717.95999999999992</c:v>
                </c:pt>
                <c:pt idx="50">
                  <c:v>720.56</c:v>
                </c:pt>
                <c:pt idx="51">
                  <c:v>723.16</c:v>
                </c:pt>
                <c:pt idx="52">
                  <c:v>725.76</c:v>
                </c:pt>
                <c:pt idx="53">
                  <c:v>728.3599999999999</c:v>
                </c:pt>
                <c:pt idx="54">
                  <c:v>730.95999999999992</c:v>
                </c:pt>
                <c:pt idx="55">
                  <c:v>733.56</c:v>
                </c:pt>
                <c:pt idx="56">
                  <c:v>736.16</c:v>
                </c:pt>
                <c:pt idx="57">
                  <c:v>738.76</c:v>
                </c:pt>
                <c:pt idx="58">
                  <c:v>741.3599999999999</c:v>
                </c:pt>
                <c:pt idx="59">
                  <c:v>743.95999999999992</c:v>
                </c:pt>
                <c:pt idx="60">
                  <c:v>746.56</c:v>
                </c:pt>
                <c:pt idx="61">
                  <c:v>749.16</c:v>
                </c:pt>
                <c:pt idx="62">
                  <c:v>751.76</c:v>
                </c:pt>
                <c:pt idx="63">
                  <c:v>754.3599999999999</c:v>
                </c:pt>
                <c:pt idx="64">
                  <c:v>756.95999999999992</c:v>
                </c:pt>
                <c:pt idx="65">
                  <c:v>759.56</c:v>
                </c:pt>
                <c:pt idx="66">
                  <c:v>762.16</c:v>
                </c:pt>
                <c:pt idx="67">
                  <c:v>764.76</c:v>
                </c:pt>
                <c:pt idx="68">
                  <c:v>767.3599999999999</c:v>
                </c:pt>
                <c:pt idx="69">
                  <c:v>769.95999999999992</c:v>
                </c:pt>
                <c:pt idx="70">
                  <c:v>772.56</c:v>
                </c:pt>
                <c:pt idx="71">
                  <c:v>775.16</c:v>
                </c:pt>
                <c:pt idx="72">
                  <c:v>777.76</c:v>
                </c:pt>
                <c:pt idx="73">
                  <c:v>780.3599999999999</c:v>
                </c:pt>
                <c:pt idx="74">
                  <c:v>782.95999999999992</c:v>
                </c:pt>
                <c:pt idx="75">
                  <c:v>785.56</c:v>
                </c:pt>
                <c:pt idx="76">
                  <c:v>788.16</c:v>
                </c:pt>
                <c:pt idx="77">
                  <c:v>790.76</c:v>
                </c:pt>
                <c:pt idx="78">
                  <c:v>793.3599999999999</c:v>
                </c:pt>
                <c:pt idx="79">
                  <c:v>795.95999999999992</c:v>
                </c:pt>
                <c:pt idx="80">
                  <c:v>798.56</c:v>
                </c:pt>
                <c:pt idx="81">
                  <c:v>801.16</c:v>
                </c:pt>
                <c:pt idx="82">
                  <c:v>803.76</c:v>
                </c:pt>
                <c:pt idx="83">
                  <c:v>806.3599999999999</c:v>
                </c:pt>
                <c:pt idx="84">
                  <c:v>808.95999999999992</c:v>
                </c:pt>
                <c:pt idx="85">
                  <c:v>811.56</c:v>
                </c:pt>
                <c:pt idx="86">
                  <c:v>814.16</c:v>
                </c:pt>
                <c:pt idx="87">
                  <c:v>816.76</c:v>
                </c:pt>
                <c:pt idx="88">
                  <c:v>819.3599999999999</c:v>
                </c:pt>
                <c:pt idx="89">
                  <c:v>821.95999999999992</c:v>
                </c:pt>
                <c:pt idx="90">
                  <c:v>824.56</c:v>
                </c:pt>
                <c:pt idx="91">
                  <c:v>827.16</c:v>
                </c:pt>
                <c:pt idx="92">
                  <c:v>829.76</c:v>
                </c:pt>
                <c:pt idx="93">
                  <c:v>832.3599999999999</c:v>
                </c:pt>
                <c:pt idx="94">
                  <c:v>834.95999999999992</c:v>
                </c:pt>
                <c:pt idx="95">
                  <c:v>837.56</c:v>
                </c:pt>
                <c:pt idx="96">
                  <c:v>840.16</c:v>
                </c:pt>
                <c:pt idx="97">
                  <c:v>842.76</c:v>
                </c:pt>
                <c:pt idx="98">
                  <c:v>845.3599999999999</c:v>
                </c:pt>
                <c:pt idx="99">
                  <c:v>847.96</c:v>
                </c:pt>
                <c:pt idx="100">
                  <c:v>850.56</c:v>
                </c:pt>
                <c:pt idx="101">
                  <c:v>853.16</c:v>
                </c:pt>
                <c:pt idx="102">
                  <c:v>855.76</c:v>
                </c:pt>
                <c:pt idx="103">
                  <c:v>858.3599999999999</c:v>
                </c:pt>
                <c:pt idx="104">
                  <c:v>860.96</c:v>
                </c:pt>
                <c:pt idx="105">
                  <c:v>863.56</c:v>
                </c:pt>
                <c:pt idx="106">
                  <c:v>866.16</c:v>
                </c:pt>
                <c:pt idx="107">
                  <c:v>868.76</c:v>
                </c:pt>
                <c:pt idx="108">
                  <c:v>871.3599999999999</c:v>
                </c:pt>
                <c:pt idx="109">
                  <c:v>873.96</c:v>
                </c:pt>
                <c:pt idx="110">
                  <c:v>876.56</c:v>
                </c:pt>
                <c:pt idx="111">
                  <c:v>879.16</c:v>
                </c:pt>
                <c:pt idx="112">
                  <c:v>881.76</c:v>
                </c:pt>
                <c:pt idx="113">
                  <c:v>884.3599999999999</c:v>
                </c:pt>
                <c:pt idx="114">
                  <c:v>886.96</c:v>
                </c:pt>
                <c:pt idx="115">
                  <c:v>889.56</c:v>
                </c:pt>
                <c:pt idx="116">
                  <c:v>892.16</c:v>
                </c:pt>
                <c:pt idx="117">
                  <c:v>894.76</c:v>
                </c:pt>
                <c:pt idx="118">
                  <c:v>897.3599999999999</c:v>
                </c:pt>
                <c:pt idx="119">
                  <c:v>899.96</c:v>
                </c:pt>
                <c:pt idx="120">
                  <c:v>902.56</c:v>
                </c:pt>
                <c:pt idx="121">
                  <c:v>905.16</c:v>
                </c:pt>
                <c:pt idx="122">
                  <c:v>907.76</c:v>
                </c:pt>
                <c:pt idx="123">
                  <c:v>910.3599999999999</c:v>
                </c:pt>
                <c:pt idx="124">
                  <c:v>912.96</c:v>
                </c:pt>
                <c:pt idx="125">
                  <c:v>915.56</c:v>
                </c:pt>
                <c:pt idx="126">
                  <c:v>918.16</c:v>
                </c:pt>
                <c:pt idx="127">
                  <c:v>920.76</c:v>
                </c:pt>
                <c:pt idx="128">
                  <c:v>923.3599999999999</c:v>
                </c:pt>
                <c:pt idx="129">
                  <c:v>925.96</c:v>
                </c:pt>
                <c:pt idx="130">
                  <c:v>928.56</c:v>
                </c:pt>
                <c:pt idx="131">
                  <c:v>931.16</c:v>
                </c:pt>
                <c:pt idx="132">
                  <c:v>933.76</c:v>
                </c:pt>
                <c:pt idx="133">
                  <c:v>936.3599999999999</c:v>
                </c:pt>
                <c:pt idx="134">
                  <c:v>938.96</c:v>
                </c:pt>
                <c:pt idx="135">
                  <c:v>941.56</c:v>
                </c:pt>
                <c:pt idx="136">
                  <c:v>944.16</c:v>
                </c:pt>
                <c:pt idx="137">
                  <c:v>946.76</c:v>
                </c:pt>
                <c:pt idx="138">
                  <c:v>949.3599999999999</c:v>
                </c:pt>
                <c:pt idx="139">
                  <c:v>951.96</c:v>
                </c:pt>
                <c:pt idx="140">
                  <c:v>954.56</c:v>
                </c:pt>
                <c:pt idx="141">
                  <c:v>957.16</c:v>
                </c:pt>
                <c:pt idx="142">
                  <c:v>959.76</c:v>
                </c:pt>
                <c:pt idx="143">
                  <c:v>962.3599999999999</c:v>
                </c:pt>
                <c:pt idx="144">
                  <c:v>964.96</c:v>
                </c:pt>
                <c:pt idx="145">
                  <c:v>967.56</c:v>
                </c:pt>
                <c:pt idx="146">
                  <c:v>970.16</c:v>
                </c:pt>
                <c:pt idx="147">
                  <c:v>972.76</c:v>
                </c:pt>
                <c:pt idx="148">
                  <c:v>975.3599999999999</c:v>
                </c:pt>
                <c:pt idx="149">
                  <c:v>977.96</c:v>
                </c:pt>
                <c:pt idx="150">
                  <c:v>980.56</c:v>
                </c:pt>
                <c:pt idx="151">
                  <c:v>983.16</c:v>
                </c:pt>
                <c:pt idx="152">
                  <c:v>985.76</c:v>
                </c:pt>
                <c:pt idx="153">
                  <c:v>988.3599999999999</c:v>
                </c:pt>
                <c:pt idx="154">
                  <c:v>990.96</c:v>
                </c:pt>
                <c:pt idx="155">
                  <c:v>993.56</c:v>
                </c:pt>
                <c:pt idx="156">
                  <c:v>996.16</c:v>
                </c:pt>
                <c:pt idx="157">
                  <c:v>998.76</c:v>
                </c:pt>
                <c:pt idx="158">
                  <c:v>1001.3599999999999</c:v>
                </c:pt>
                <c:pt idx="159">
                  <c:v>1003.96</c:v>
                </c:pt>
                <c:pt idx="160">
                  <c:v>1006.56</c:v>
                </c:pt>
                <c:pt idx="161">
                  <c:v>1009.16</c:v>
                </c:pt>
                <c:pt idx="162">
                  <c:v>1011.76</c:v>
                </c:pt>
                <c:pt idx="163">
                  <c:v>1014.3599999999999</c:v>
                </c:pt>
                <c:pt idx="164">
                  <c:v>1016.96</c:v>
                </c:pt>
                <c:pt idx="165">
                  <c:v>1019.56</c:v>
                </c:pt>
                <c:pt idx="166">
                  <c:v>1022.16</c:v>
                </c:pt>
                <c:pt idx="167">
                  <c:v>1024.76</c:v>
                </c:pt>
                <c:pt idx="168">
                  <c:v>1027.3599999999999</c:v>
                </c:pt>
                <c:pt idx="169">
                  <c:v>1029.96</c:v>
                </c:pt>
                <c:pt idx="170">
                  <c:v>1032.56</c:v>
                </c:pt>
                <c:pt idx="171">
                  <c:v>1035.1599999999999</c:v>
                </c:pt>
                <c:pt idx="172">
                  <c:v>1037.76</c:v>
                </c:pt>
                <c:pt idx="173">
                  <c:v>1040.3599999999999</c:v>
                </c:pt>
                <c:pt idx="174">
                  <c:v>1042.96</c:v>
                </c:pt>
                <c:pt idx="175">
                  <c:v>1045.56</c:v>
                </c:pt>
                <c:pt idx="176">
                  <c:v>1048.1599999999999</c:v>
                </c:pt>
                <c:pt idx="177">
                  <c:v>1050.76</c:v>
                </c:pt>
                <c:pt idx="178">
                  <c:v>1053.3599999999999</c:v>
                </c:pt>
                <c:pt idx="179">
                  <c:v>1055.96</c:v>
                </c:pt>
                <c:pt idx="180">
                  <c:v>1058.56</c:v>
                </c:pt>
                <c:pt idx="181">
                  <c:v>1061.1599999999999</c:v>
                </c:pt>
                <c:pt idx="182">
                  <c:v>1063.76</c:v>
                </c:pt>
                <c:pt idx="183">
                  <c:v>1066.3599999999999</c:v>
                </c:pt>
                <c:pt idx="184">
                  <c:v>1068.96</c:v>
                </c:pt>
                <c:pt idx="185">
                  <c:v>1071.56</c:v>
                </c:pt>
                <c:pt idx="186">
                  <c:v>1074.1599999999999</c:v>
                </c:pt>
                <c:pt idx="187">
                  <c:v>1076.76</c:v>
                </c:pt>
                <c:pt idx="188">
                  <c:v>1079.3599999999999</c:v>
                </c:pt>
                <c:pt idx="189">
                  <c:v>1081.96</c:v>
                </c:pt>
                <c:pt idx="190">
                  <c:v>1084.56</c:v>
                </c:pt>
                <c:pt idx="191">
                  <c:v>1087.1599999999999</c:v>
                </c:pt>
                <c:pt idx="192">
                  <c:v>1089.76</c:v>
                </c:pt>
                <c:pt idx="193">
                  <c:v>1092.3599999999999</c:v>
                </c:pt>
                <c:pt idx="194">
                  <c:v>1094.96</c:v>
                </c:pt>
                <c:pt idx="195">
                  <c:v>1097.56</c:v>
                </c:pt>
                <c:pt idx="196">
                  <c:v>1100.1599999999999</c:v>
                </c:pt>
                <c:pt idx="197">
                  <c:v>1102.76</c:v>
                </c:pt>
                <c:pt idx="198">
                  <c:v>1105.3600000000001</c:v>
                </c:pt>
                <c:pt idx="199">
                  <c:v>1107.96</c:v>
                </c:pt>
                <c:pt idx="200">
                  <c:v>1110.56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60F-439A-8F03-CAC20690148E}"/>
            </c:ext>
          </c:extLst>
        </c:ser>
        <c:ser>
          <c:idx val="1"/>
          <c:order val="1"/>
          <c:tx>
            <c:strRef>
              <c:f>'Ejercicio 2'!$C$29</c:f>
              <c:strCache>
                <c:ptCount val="1"/>
                <c:pt idx="0">
                  <c:v>Ingreso de Ventas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Lbl>
              <c:idx val="1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60F-439A-8F03-CAC2069014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'Ejercicio 2'!$A$30:$A$230</c:f>
              <c:numCache>
                <c:formatCode>General</c:formatCode>
                <c:ptCount val="2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</c:numCache>
            </c:numRef>
          </c:xVal>
          <c:yVal>
            <c:numRef>
              <c:f>'Ejercicio 2'!$C$30:$C$230</c:f>
              <c:numCache>
                <c:formatCode>_ "$"* #,##0.00_ ;_ "$"* \-#,##0.00_ ;_ "$"* "-"??_ ;_ @_ </c:formatCode>
                <c:ptCount val="201"/>
                <c:pt idx="0">
                  <c:v>0</c:v>
                </c:pt>
                <c:pt idx="1">
                  <c:v>6</c:v>
                </c:pt>
                <c:pt idx="2">
                  <c:v>12</c:v>
                </c:pt>
                <c:pt idx="3">
                  <c:v>18</c:v>
                </c:pt>
                <c:pt idx="4">
                  <c:v>24</c:v>
                </c:pt>
                <c:pt idx="5">
                  <c:v>30</c:v>
                </c:pt>
                <c:pt idx="6">
                  <c:v>36</c:v>
                </c:pt>
                <c:pt idx="7">
                  <c:v>42</c:v>
                </c:pt>
                <c:pt idx="8">
                  <c:v>48</c:v>
                </c:pt>
                <c:pt idx="9">
                  <c:v>54</c:v>
                </c:pt>
                <c:pt idx="10">
                  <c:v>60</c:v>
                </c:pt>
                <c:pt idx="11">
                  <c:v>66</c:v>
                </c:pt>
                <c:pt idx="12">
                  <c:v>72</c:v>
                </c:pt>
                <c:pt idx="13">
                  <c:v>78</c:v>
                </c:pt>
                <c:pt idx="14">
                  <c:v>84</c:v>
                </c:pt>
                <c:pt idx="15">
                  <c:v>90</c:v>
                </c:pt>
                <c:pt idx="16">
                  <c:v>96</c:v>
                </c:pt>
                <c:pt idx="17">
                  <c:v>102</c:v>
                </c:pt>
                <c:pt idx="18">
                  <c:v>108</c:v>
                </c:pt>
                <c:pt idx="19">
                  <c:v>114</c:v>
                </c:pt>
                <c:pt idx="20">
                  <c:v>120</c:v>
                </c:pt>
                <c:pt idx="21">
                  <c:v>126</c:v>
                </c:pt>
                <c:pt idx="22">
                  <c:v>132</c:v>
                </c:pt>
                <c:pt idx="23">
                  <c:v>138</c:v>
                </c:pt>
                <c:pt idx="24">
                  <c:v>144</c:v>
                </c:pt>
                <c:pt idx="25">
                  <c:v>150</c:v>
                </c:pt>
                <c:pt idx="26">
                  <c:v>156</c:v>
                </c:pt>
                <c:pt idx="27">
                  <c:v>162</c:v>
                </c:pt>
                <c:pt idx="28">
                  <c:v>168</c:v>
                </c:pt>
                <c:pt idx="29">
                  <c:v>174</c:v>
                </c:pt>
                <c:pt idx="30">
                  <c:v>180</c:v>
                </c:pt>
                <c:pt idx="31">
                  <c:v>186</c:v>
                </c:pt>
                <c:pt idx="32">
                  <c:v>192</c:v>
                </c:pt>
                <c:pt idx="33">
                  <c:v>198</c:v>
                </c:pt>
                <c:pt idx="34">
                  <c:v>204</c:v>
                </c:pt>
                <c:pt idx="35">
                  <c:v>210</c:v>
                </c:pt>
                <c:pt idx="36">
                  <c:v>216</c:v>
                </c:pt>
                <c:pt idx="37">
                  <c:v>222</c:v>
                </c:pt>
                <c:pt idx="38">
                  <c:v>228</c:v>
                </c:pt>
                <c:pt idx="39">
                  <c:v>234</c:v>
                </c:pt>
                <c:pt idx="40">
                  <c:v>240</c:v>
                </c:pt>
                <c:pt idx="41">
                  <c:v>246</c:v>
                </c:pt>
                <c:pt idx="42">
                  <c:v>252</c:v>
                </c:pt>
                <c:pt idx="43">
                  <c:v>258</c:v>
                </c:pt>
                <c:pt idx="44">
                  <c:v>264</c:v>
                </c:pt>
                <c:pt idx="45">
                  <c:v>270</c:v>
                </c:pt>
                <c:pt idx="46">
                  <c:v>276</c:v>
                </c:pt>
                <c:pt idx="47">
                  <c:v>282</c:v>
                </c:pt>
                <c:pt idx="48">
                  <c:v>288</c:v>
                </c:pt>
                <c:pt idx="49">
                  <c:v>294</c:v>
                </c:pt>
                <c:pt idx="50">
                  <c:v>300</c:v>
                </c:pt>
                <c:pt idx="51">
                  <c:v>306</c:v>
                </c:pt>
                <c:pt idx="52">
                  <c:v>312</c:v>
                </c:pt>
                <c:pt idx="53">
                  <c:v>318</c:v>
                </c:pt>
                <c:pt idx="54">
                  <c:v>324</c:v>
                </c:pt>
                <c:pt idx="55">
                  <c:v>330</c:v>
                </c:pt>
                <c:pt idx="56">
                  <c:v>336</c:v>
                </c:pt>
                <c:pt idx="57">
                  <c:v>342</c:v>
                </c:pt>
                <c:pt idx="58">
                  <c:v>348</c:v>
                </c:pt>
                <c:pt idx="59">
                  <c:v>354</c:v>
                </c:pt>
                <c:pt idx="60">
                  <c:v>360</c:v>
                </c:pt>
                <c:pt idx="61">
                  <c:v>366</c:v>
                </c:pt>
                <c:pt idx="62">
                  <c:v>372</c:v>
                </c:pt>
                <c:pt idx="63">
                  <c:v>378</c:v>
                </c:pt>
                <c:pt idx="64">
                  <c:v>384</c:v>
                </c:pt>
                <c:pt idx="65">
                  <c:v>390</c:v>
                </c:pt>
                <c:pt idx="66">
                  <c:v>396</c:v>
                </c:pt>
                <c:pt idx="67">
                  <c:v>402</c:v>
                </c:pt>
                <c:pt idx="68">
                  <c:v>408</c:v>
                </c:pt>
                <c:pt idx="69">
                  <c:v>414</c:v>
                </c:pt>
                <c:pt idx="70">
                  <c:v>420</c:v>
                </c:pt>
                <c:pt idx="71">
                  <c:v>426</c:v>
                </c:pt>
                <c:pt idx="72">
                  <c:v>432</c:v>
                </c:pt>
                <c:pt idx="73">
                  <c:v>438</c:v>
                </c:pt>
                <c:pt idx="74">
                  <c:v>444</c:v>
                </c:pt>
                <c:pt idx="75">
                  <c:v>450</c:v>
                </c:pt>
                <c:pt idx="76">
                  <c:v>456</c:v>
                </c:pt>
                <c:pt idx="77">
                  <c:v>462</c:v>
                </c:pt>
                <c:pt idx="78">
                  <c:v>468</c:v>
                </c:pt>
                <c:pt idx="79">
                  <c:v>474</c:v>
                </c:pt>
                <c:pt idx="80">
                  <c:v>480</c:v>
                </c:pt>
                <c:pt idx="81">
                  <c:v>486</c:v>
                </c:pt>
                <c:pt idx="82">
                  <c:v>492</c:v>
                </c:pt>
                <c:pt idx="83">
                  <c:v>498</c:v>
                </c:pt>
                <c:pt idx="84">
                  <c:v>504</c:v>
                </c:pt>
                <c:pt idx="85">
                  <c:v>510</c:v>
                </c:pt>
                <c:pt idx="86">
                  <c:v>516</c:v>
                </c:pt>
                <c:pt idx="87">
                  <c:v>522</c:v>
                </c:pt>
                <c:pt idx="88">
                  <c:v>528</c:v>
                </c:pt>
                <c:pt idx="89">
                  <c:v>534</c:v>
                </c:pt>
                <c:pt idx="90">
                  <c:v>540</c:v>
                </c:pt>
                <c:pt idx="91">
                  <c:v>546</c:v>
                </c:pt>
                <c:pt idx="92">
                  <c:v>552</c:v>
                </c:pt>
                <c:pt idx="93">
                  <c:v>558</c:v>
                </c:pt>
                <c:pt idx="94">
                  <c:v>564</c:v>
                </c:pt>
                <c:pt idx="95">
                  <c:v>570</c:v>
                </c:pt>
                <c:pt idx="96">
                  <c:v>576</c:v>
                </c:pt>
                <c:pt idx="97">
                  <c:v>582</c:v>
                </c:pt>
                <c:pt idx="98">
                  <c:v>588</c:v>
                </c:pt>
                <c:pt idx="99">
                  <c:v>594</c:v>
                </c:pt>
                <c:pt idx="100">
                  <c:v>600</c:v>
                </c:pt>
                <c:pt idx="101">
                  <c:v>606</c:v>
                </c:pt>
                <c:pt idx="102">
                  <c:v>612</c:v>
                </c:pt>
                <c:pt idx="103">
                  <c:v>618</c:v>
                </c:pt>
                <c:pt idx="104">
                  <c:v>624</c:v>
                </c:pt>
                <c:pt idx="105">
                  <c:v>630</c:v>
                </c:pt>
                <c:pt idx="106">
                  <c:v>636</c:v>
                </c:pt>
                <c:pt idx="107">
                  <c:v>642</c:v>
                </c:pt>
                <c:pt idx="108">
                  <c:v>648</c:v>
                </c:pt>
                <c:pt idx="109">
                  <c:v>654</c:v>
                </c:pt>
                <c:pt idx="110">
                  <c:v>660</c:v>
                </c:pt>
                <c:pt idx="111">
                  <c:v>666</c:v>
                </c:pt>
                <c:pt idx="112">
                  <c:v>672</c:v>
                </c:pt>
                <c:pt idx="113">
                  <c:v>678</c:v>
                </c:pt>
                <c:pt idx="114">
                  <c:v>684</c:v>
                </c:pt>
                <c:pt idx="115">
                  <c:v>690</c:v>
                </c:pt>
                <c:pt idx="116">
                  <c:v>696</c:v>
                </c:pt>
                <c:pt idx="117">
                  <c:v>702</c:v>
                </c:pt>
                <c:pt idx="118">
                  <c:v>708</c:v>
                </c:pt>
                <c:pt idx="119">
                  <c:v>714</c:v>
                </c:pt>
                <c:pt idx="120">
                  <c:v>720</c:v>
                </c:pt>
                <c:pt idx="121">
                  <c:v>726</c:v>
                </c:pt>
                <c:pt idx="122">
                  <c:v>732</c:v>
                </c:pt>
                <c:pt idx="123">
                  <c:v>738</c:v>
                </c:pt>
                <c:pt idx="124">
                  <c:v>744</c:v>
                </c:pt>
                <c:pt idx="125">
                  <c:v>750</c:v>
                </c:pt>
                <c:pt idx="126">
                  <c:v>756</c:v>
                </c:pt>
                <c:pt idx="127">
                  <c:v>762</c:v>
                </c:pt>
                <c:pt idx="128">
                  <c:v>768</c:v>
                </c:pt>
                <c:pt idx="129">
                  <c:v>774</c:v>
                </c:pt>
                <c:pt idx="130">
                  <c:v>780</c:v>
                </c:pt>
                <c:pt idx="131">
                  <c:v>786</c:v>
                </c:pt>
                <c:pt idx="132">
                  <c:v>792</c:v>
                </c:pt>
                <c:pt idx="133">
                  <c:v>798</c:v>
                </c:pt>
                <c:pt idx="134">
                  <c:v>804</c:v>
                </c:pt>
                <c:pt idx="135">
                  <c:v>810</c:v>
                </c:pt>
                <c:pt idx="136">
                  <c:v>816</c:v>
                </c:pt>
                <c:pt idx="137">
                  <c:v>822</c:v>
                </c:pt>
                <c:pt idx="138">
                  <c:v>828</c:v>
                </c:pt>
                <c:pt idx="139">
                  <c:v>834</c:v>
                </c:pt>
                <c:pt idx="140">
                  <c:v>840</c:v>
                </c:pt>
                <c:pt idx="141">
                  <c:v>846</c:v>
                </c:pt>
                <c:pt idx="142">
                  <c:v>852</c:v>
                </c:pt>
                <c:pt idx="143">
                  <c:v>858</c:v>
                </c:pt>
                <c:pt idx="144">
                  <c:v>864</c:v>
                </c:pt>
                <c:pt idx="145">
                  <c:v>870</c:v>
                </c:pt>
                <c:pt idx="146">
                  <c:v>876</c:v>
                </c:pt>
                <c:pt idx="147">
                  <c:v>882</c:v>
                </c:pt>
                <c:pt idx="148">
                  <c:v>888</c:v>
                </c:pt>
                <c:pt idx="149">
                  <c:v>894</c:v>
                </c:pt>
                <c:pt idx="150">
                  <c:v>900</c:v>
                </c:pt>
                <c:pt idx="151">
                  <c:v>906</c:v>
                </c:pt>
                <c:pt idx="152">
                  <c:v>912</c:v>
                </c:pt>
                <c:pt idx="153">
                  <c:v>918</c:v>
                </c:pt>
                <c:pt idx="154">
                  <c:v>924</c:v>
                </c:pt>
                <c:pt idx="155">
                  <c:v>930</c:v>
                </c:pt>
                <c:pt idx="156">
                  <c:v>936</c:v>
                </c:pt>
                <c:pt idx="157">
                  <c:v>942</c:v>
                </c:pt>
                <c:pt idx="158">
                  <c:v>948</c:v>
                </c:pt>
                <c:pt idx="159">
                  <c:v>954</c:v>
                </c:pt>
                <c:pt idx="160">
                  <c:v>960</c:v>
                </c:pt>
                <c:pt idx="161">
                  <c:v>966</c:v>
                </c:pt>
                <c:pt idx="162">
                  <c:v>972</c:v>
                </c:pt>
                <c:pt idx="163">
                  <c:v>978</c:v>
                </c:pt>
                <c:pt idx="164">
                  <c:v>984</c:v>
                </c:pt>
                <c:pt idx="165">
                  <c:v>990</c:v>
                </c:pt>
                <c:pt idx="166">
                  <c:v>996</c:v>
                </c:pt>
                <c:pt idx="167">
                  <c:v>1002</c:v>
                </c:pt>
                <c:pt idx="168">
                  <c:v>1008</c:v>
                </c:pt>
                <c:pt idx="169">
                  <c:v>1014</c:v>
                </c:pt>
                <c:pt idx="170">
                  <c:v>1020</c:v>
                </c:pt>
                <c:pt idx="171">
                  <c:v>1026</c:v>
                </c:pt>
                <c:pt idx="172">
                  <c:v>1032</c:v>
                </c:pt>
                <c:pt idx="173">
                  <c:v>1038</c:v>
                </c:pt>
                <c:pt idx="174">
                  <c:v>1044</c:v>
                </c:pt>
                <c:pt idx="175">
                  <c:v>1050</c:v>
                </c:pt>
                <c:pt idx="176">
                  <c:v>1056</c:v>
                </c:pt>
                <c:pt idx="177">
                  <c:v>1062</c:v>
                </c:pt>
                <c:pt idx="178">
                  <c:v>1068</c:v>
                </c:pt>
                <c:pt idx="179">
                  <c:v>1074</c:v>
                </c:pt>
                <c:pt idx="180">
                  <c:v>1080</c:v>
                </c:pt>
                <c:pt idx="181">
                  <c:v>1086</c:v>
                </c:pt>
                <c:pt idx="182">
                  <c:v>1092</c:v>
                </c:pt>
                <c:pt idx="183">
                  <c:v>1098</c:v>
                </c:pt>
                <c:pt idx="184">
                  <c:v>1104</c:v>
                </c:pt>
                <c:pt idx="185">
                  <c:v>1110</c:v>
                </c:pt>
                <c:pt idx="186">
                  <c:v>1116</c:v>
                </c:pt>
                <c:pt idx="187">
                  <c:v>1122</c:v>
                </c:pt>
                <c:pt idx="188">
                  <c:v>1128</c:v>
                </c:pt>
                <c:pt idx="189">
                  <c:v>1134</c:v>
                </c:pt>
                <c:pt idx="190">
                  <c:v>1140</c:v>
                </c:pt>
                <c:pt idx="191">
                  <c:v>1146</c:v>
                </c:pt>
                <c:pt idx="192">
                  <c:v>1152</c:v>
                </c:pt>
                <c:pt idx="193">
                  <c:v>1158</c:v>
                </c:pt>
                <c:pt idx="194">
                  <c:v>1164</c:v>
                </c:pt>
                <c:pt idx="195">
                  <c:v>1170</c:v>
                </c:pt>
                <c:pt idx="196">
                  <c:v>1176</c:v>
                </c:pt>
                <c:pt idx="197">
                  <c:v>1182</c:v>
                </c:pt>
                <c:pt idx="198">
                  <c:v>1188</c:v>
                </c:pt>
                <c:pt idx="199">
                  <c:v>1194</c:v>
                </c:pt>
                <c:pt idx="200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60F-439A-8F03-CAC206901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3106400"/>
        <c:axId val="583114560"/>
      </c:scatterChart>
      <c:valAx>
        <c:axId val="583106400"/>
        <c:scaling>
          <c:orientation val="minMax"/>
          <c:max val="500"/>
          <c:min val="0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83114560"/>
        <c:crosses val="autoZero"/>
        <c:crossBetween val="midCat"/>
      </c:valAx>
      <c:valAx>
        <c:axId val="583114560"/>
        <c:scaling>
          <c:orientation val="minMax"/>
          <c:max val="2500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_ &quot;$&quot;* #,##0.00_ ;_ &quot;$&quot;* \-#,##0.00_ ;_ &quot;$&quot;* &quot;-&quot;??_ ;_ @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83106400"/>
        <c:crossesAt val="0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Punto de equilibrio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>
        <c:manualLayout>
          <c:layoutTarget val="inner"/>
          <c:xMode val="edge"/>
          <c:yMode val="edge"/>
          <c:x val="0.13603609157396251"/>
          <c:y val="0.23764100138743954"/>
          <c:w val="0.81689392028843366"/>
          <c:h val="0.6960827659386329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'Ejercicio 2'!$B$29</c:f>
              <c:strCache>
                <c:ptCount val="1"/>
                <c:pt idx="0">
                  <c:v> Costo Total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'Ejercicio 2'!$A$30:$A$230</c:f>
              <c:numCache>
                <c:formatCode>General</c:formatCode>
                <c:ptCount val="2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</c:numCache>
            </c:numRef>
          </c:xVal>
          <c:yVal>
            <c:numRef>
              <c:f>'Ejercicio 2'!$B$30:$B$230</c:f>
              <c:numCache>
                <c:formatCode>_ "$"* #,##0.00_ ;_ "$"* \-#,##0.00_ ;_ "$"* "-"??_ ;_ @_ </c:formatCode>
                <c:ptCount val="201"/>
                <c:pt idx="0">
                  <c:v>590.55999999999995</c:v>
                </c:pt>
                <c:pt idx="1">
                  <c:v>593.16</c:v>
                </c:pt>
                <c:pt idx="2">
                  <c:v>595.76</c:v>
                </c:pt>
                <c:pt idx="3">
                  <c:v>598.3599999999999</c:v>
                </c:pt>
                <c:pt idx="4">
                  <c:v>600.95999999999992</c:v>
                </c:pt>
                <c:pt idx="5">
                  <c:v>603.55999999999995</c:v>
                </c:pt>
                <c:pt idx="6">
                  <c:v>606.16</c:v>
                </c:pt>
                <c:pt idx="7">
                  <c:v>608.76</c:v>
                </c:pt>
                <c:pt idx="8">
                  <c:v>611.3599999999999</c:v>
                </c:pt>
                <c:pt idx="9">
                  <c:v>613.95999999999992</c:v>
                </c:pt>
                <c:pt idx="10">
                  <c:v>616.55999999999995</c:v>
                </c:pt>
                <c:pt idx="11">
                  <c:v>619.16</c:v>
                </c:pt>
                <c:pt idx="12">
                  <c:v>621.76</c:v>
                </c:pt>
                <c:pt idx="13">
                  <c:v>624.3599999999999</c:v>
                </c:pt>
                <c:pt idx="14">
                  <c:v>626.95999999999992</c:v>
                </c:pt>
                <c:pt idx="15">
                  <c:v>629.55999999999995</c:v>
                </c:pt>
                <c:pt idx="16">
                  <c:v>632.16</c:v>
                </c:pt>
                <c:pt idx="17">
                  <c:v>634.76</c:v>
                </c:pt>
                <c:pt idx="18">
                  <c:v>637.3599999999999</c:v>
                </c:pt>
                <c:pt idx="19">
                  <c:v>639.95999999999992</c:v>
                </c:pt>
                <c:pt idx="20">
                  <c:v>642.55999999999995</c:v>
                </c:pt>
                <c:pt idx="21">
                  <c:v>645.16</c:v>
                </c:pt>
                <c:pt idx="22">
                  <c:v>647.76</c:v>
                </c:pt>
                <c:pt idx="23">
                  <c:v>650.3599999999999</c:v>
                </c:pt>
                <c:pt idx="24">
                  <c:v>652.95999999999992</c:v>
                </c:pt>
                <c:pt idx="25">
                  <c:v>655.56</c:v>
                </c:pt>
                <c:pt idx="26">
                  <c:v>658.16</c:v>
                </c:pt>
                <c:pt idx="27">
                  <c:v>660.76</c:v>
                </c:pt>
                <c:pt idx="28">
                  <c:v>663.3599999999999</c:v>
                </c:pt>
                <c:pt idx="29">
                  <c:v>665.95999999999992</c:v>
                </c:pt>
                <c:pt idx="30">
                  <c:v>668.56</c:v>
                </c:pt>
                <c:pt idx="31">
                  <c:v>671.16</c:v>
                </c:pt>
                <c:pt idx="32">
                  <c:v>673.76</c:v>
                </c:pt>
                <c:pt idx="33">
                  <c:v>676.3599999999999</c:v>
                </c:pt>
                <c:pt idx="34">
                  <c:v>678.95999999999992</c:v>
                </c:pt>
                <c:pt idx="35">
                  <c:v>681.56</c:v>
                </c:pt>
                <c:pt idx="36">
                  <c:v>684.16</c:v>
                </c:pt>
                <c:pt idx="37">
                  <c:v>686.76</c:v>
                </c:pt>
                <c:pt idx="38">
                  <c:v>689.3599999999999</c:v>
                </c:pt>
                <c:pt idx="39">
                  <c:v>691.95999999999992</c:v>
                </c:pt>
                <c:pt idx="40">
                  <c:v>694.56</c:v>
                </c:pt>
                <c:pt idx="41">
                  <c:v>697.16</c:v>
                </c:pt>
                <c:pt idx="42">
                  <c:v>699.76</c:v>
                </c:pt>
                <c:pt idx="43">
                  <c:v>702.3599999999999</c:v>
                </c:pt>
                <c:pt idx="44">
                  <c:v>704.95999999999992</c:v>
                </c:pt>
                <c:pt idx="45">
                  <c:v>707.56</c:v>
                </c:pt>
                <c:pt idx="46">
                  <c:v>710.16</c:v>
                </c:pt>
                <c:pt idx="47">
                  <c:v>712.76</c:v>
                </c:pt>
                <c:pt idx="48">
                  <c:v>715.3599999999999</c:v>
                </c:pt>
                <c:pt idx="49">
                  <c:v>717.95999999999992</c:v>
                </c:pt>
                <c:pt idx="50">
                  <c:v>720.56</c:v>
                </c:pt>
                <c:pt idx="51">
                  <c:v>723.16</c:v>
                </c:pt>
                <c:pt idx="52">
                  <c:v>725.76</c:v>
                </c:pt>
                <c:pt idx="53">
                  <c:v>728.3599999999999</c:v>
                </c:pt>
                <c:pt idx="54">
                  <c:v>730.95999999999992</c:v>
                </c:pt>
                <c:pt idx="55">
                  <c:v>733.56</c:v>
                </c:pt>
                <c:pt idx="56">
                  <c:v>736.16</c:v>
                </c:pt>
                <c:pt idx="57">
                  <c:v>738.76</c:v>
                </c:pt>
                <c:pt idx="58">
                  <c:v>741.3599999999999</c:v>
                </c:pt>
                <c:pt idx="59">
                  <c:v>743.95999999999992</c:v>
                </c:pt>
                <c:pt idx="60">
                  <c:v>746.56</c:v>
                </c:pt>
                <c:pt idx="61">
                  <c:v>749.16</c:v>
                </c:pt>
                <c:pt idx="62">
                  <c:v>751.76</c:v>
                </c:pt>
                <c:pt idx="63">
                  <c:v>754.3599999999999</c:v>
                </c:pt>
                <c:pt idx="64">
                  <c:v>756.95999999999992</c:v>
                </c:pt>
                <c:pt idx="65">
                  <c:v>759.56</c:v>
                </c:pt>
                <c:pt idx="66">
                  <c:v>762.16</c:v>
                </c:pt>
                <c:pt idx="67">
                  <c:v>764.76</c:v>
                </c:pt>
                <c:pt idx="68">
                  <c:v>767.3599999999999</c:v>
                </c:pt>
                <c:pt idx="69">
                  <c:v>769.95999999999992</c:v>
                </c:pt>
                <c:pt idx="70">
                  <c:v>772.56</c:v>
                </c:pt>
                <c:pt idx="71">
                  <c:v>775.16</c:v>
                </c:pt>
                <c:pt idx="72">
                  <c:v>777.76</c:v>
                </c:pt>
                <c:pt idx="73">
                  <c:v>780.3599999999999</c:v>
                </c:pt>
                <c:pt idx="74">
                  <c:v>782.95999999999992</c:v>
                </c:pt>
                <c:pt idx="75">
                  <c:v>785.56</c:v>
                </c:pt>
                <c:pt idx="76">
                  <c:v>788.16</c:v>
                </c:pt>
                <c:pt idx="77">
                  <c:v>790.76</c:v>
                </c:pt>
                <c:pt idx="78">
                  <c:v>793.3599999999999</c:v>
                </c:pt>
                <c:pt idx="79">
                  <c:v>795.95999999999992</c:v>
                </c:pt>
                <c:pt idx="80">
                  <c:v>798.56</c:v>
                </c:pt>
                <c:pt idx="81">
                  <c:v>801.16</c:v>
                </c:pt>
                <c:pt idx="82">
                  <c:v>803.76</c:v>
                </c:pt>
                <c:pt idx="83">
                  <c:v>806.3599999999999</c:v>
                </c:pt>
                <c:pt idx="84">
                  <c:v>808.95999999999992</c:v>
                </c:pt>
                <c:pt idx="85">
                  <c:v>811.56</c:v>
                </c:pt>
                <c:pt idx="86">
                  <c:v>814.16</c:v>
                </c:pt>
                <c:pt idx="87">
                  <c:v>816.76</c:v>
                </c:pt>
                <c:pt idx="88">
                  <c:v>819.3599999999999</c:v>
                </c:pt>
                <c:pt idx="89">
                  <c:v>821.95999999999992</c:v>
                </c:pt>
                <c:pt idx="90">
                  <c:v>824.56</c:v>
                </c:pt>
                <c:pt idx="91">
                  <c:v>827.16</c:v>
                </c:pt>
                <c:pt idx="92">
                  <c:v>829.76</c:v>
                </c:pt>
                <c:pt idx="93">
                  <c:v>832.3599999999999</c:v>
                </c:pt>
                <c:pt idx="94">
                  <c:v>834.95999999999992</c:v>
                </c:pt>
                <c:pt idx="95">
                  <c:v>837.56</c:v>
                </c:pt>
                <c:pt idx="96">
                  <c:v>840.16</c:v>
                </c:pt>
                <c:pt idx="97">
                  <c:v>842.76</c:v>
                </c:pt>
                <c:pt idx="98">
                  <c:v>845.3599999999999</c:v>
                </c:pt>
                <c:pt idx="99">
                  <c:v>847.96</c:v>
                </c:pt>
                <c:pt idx="100">
                  <c:v>850.56</c:v>
                </c:pt>
                <c:pt idx="101">
                  <c:v>853.16</c:v>
                </c:pt>
                <c:pt idx="102">
                  <c:v>855.76</c:v>
                </c:pt>
                <c:pt idx="103">
                  <c:v>858.3599999999999</c:v>
                </c:pt>
                <c:pt idx="104">
                  <c:v>860.96</c:v>
                </c:pt>
                <c:pt idx="105">
                  <c:v>863.56</c:v>
                </c:pt>
                <c:pt idx="106">
                  <c:v>866.16</c:v>
                </c:pt>
                <c:pt idx="107">
                  <c:v>868.76</c:v>
                </c:pt>
                <c:pt idx="108">
                  <c:v>871.3599999999999</c:v>
                </c:pt>
                <c:pt idx="109">
                  <c:v>873.96</c:v>
                </c:pt>
                <c:pt idx="110">
                  <c:v>876.56</c:v>
                </c:pt>
                <c:pt idx="111">
                  <c:v>879.16</c:v>
                </c:pt>
                <c:pt idx="112">
                  <c:v>881.76</c:v>
                </c:pt>
                <c:pt idx="113">
                  <c:v>884.3599999999999</c:v>
                </c:pt>
                <c:pt idx="114">
                  <c:v>886.96</c:v>
                </c:pt>
                <c:pt idx="115">
                  <c:v>889.56</c:v>
                </c:pt>
                <c:pt idx="116">
                  <c:v>892.16</c:v>
                </c:pt>
                <c:pt idx="117">
                  <c:v>894.76</c:v>
                </c:pt>
                <c:pt idx="118">
                  <c:v>897.3599999999999</c:v>
                </c:pt>
                <c:pt idx="119">
                  <c:v>899.96</c:v>
                </c:pt>
                <c:pt idx="120">
                  <c:v>902.56</c:v>
                </c:pt>
                <c:pt idx="121">
                  <c:v>905.16</c:v>
                </c:pt>
                <c:pt idx="122">
                  <c:v>907.76</c:v>
                </c:pt>
                <c:pt idx="123">
                  <c:v>910.3599999999999</c:v>
                </c:pt>
                <c:pt idx="124">
                  <c:v>912.96</c:v>
                </c:pt>
                <c:pt idx="125">
                  <c:v>915.56</c:v>
                </c:pt>
                <c:pt idx="126">
                  <c:v>918.16</c:v>
                </c:pt>
                <c:pt idx="127">
                  <c:v>920.76</c:v>
                </c:pt>
                <c:pt idx="128">
                  <c:v>923.3599999999999</c:v>
                </c:pt>
                <c:pt idx="129">
                  <c:v>925.96</c:v>
                </c:pt>
                <c:pt idx="130">
                  <c:v>928.56</c:v>
                </c:pt>
                <c:pt idx="131">
                  <c:v>931.16</c:v>
                </c:pt>
                <c:pt idx="132">
                  <c:v>933.76</c:v>
                </c:pt>
                <c:pt idx="133">
                  <c:v>936.3599999999999</c:v>
                </c:pt>
                <c:pt idx="134">
                  <c:v>938.96</c:v>
                </c:pt>
                <c:pt idx="135">
                  <c:v>941.56</c:v>
                </c:pt>
                <c:pt idx="136">
                  <c:v>944.16</c:v>
                </c:pt>
                <c:pt idx="137">
                  <c:v>946.76</c:v>
                </c:pt>
                <c:pt idx="138">
                  <c:v>949.3599999999999</c:v>
                </c:pt>
                <c:pt idx="139">
                  <c:v>951.96</c:v>
                </c:pt>
                <c:pt idx="140">
                  <c:v>954.56</c:v>
                </c:pt>
                <c:pt idx="141">
                  <c:v>957.16</c:v>
                </c:pt>
                <c:pt idx="142">
                  <c:v>959.76</c:v>
                </c:pt>
                <c:pt idx="143">
                  <c:v>962.3599999999999</c:v>
                </c:pt>
                <c:pt idx="144">
                  <c:v>964.96</c:v>
                </c:pt>
                <c:pt idx="145">
                  <c:v>967.56</c:v>
                </c:pt>
                <c:pt idx="146">
                  <c:v>970.16</c:v>
                </c:pt>
                <c:pt idx="147">
                  <c:v>972.76</c:v>
                </c:pt>
                <c:pt idx="148">
                  <c:v>975.3599999999999</c:v>
                </c:pt>
                <c:pt idx="149">
                  <c:v>977.96</c:v>
                </c:pt>
                <c:pt idx="150">
                  <c:v>980.56</c:v>
                </c:pt>
                <c:pt idx="151">
                  <c:v>983.16</c:v>
                </c:pt>
                <c:pt idx="152">
                  <c:v>985.76</c:v>
                </c:pt>
                <c:pt idx="153">
                  <c:v>988.3599999999999</c:v>
                </c:pt>
                <c:pt idx="154">
                  <c:v>990.96</c:v>
                </c:pt>
                <c:pt idx="155">
                  <c:v>993.56</c:v>
                </c:pt>
                <c:pt idx="156">
                  <c:v>996.16</c:v>
                </c:pt>
                <c:pt idx="157">
                  <c:v>998.76</c:v>
                </c:pt>
                <c:pt idx="158">
                  <c:v>1001.3599999999999</c:v>
                </c:pt>
                <c:pt idx="159">
                  <c:v>1003.96</c:v>
                </c:pt>
                <c:pt idx="160">
                  <c:v>1006.56</c:v>
                </c:pt>
                <c:pt idx="161">
                  <c:v>1009.16</c:v>
                </c:pt>
                <c:pt idx="162">
                  <c:v>1011.76</c:v>
                </c:pt>
                <c:pt idx="163">
                  <c:v>1014.3599999999999</c:v>
                </c:pt>
                <c:pt idx="164">
                  <c:v>1016.96</c:v>
                </c:pt>
                <c:pt idx="165">
                  <c:v>1019.56</c:v>
                </c:pt>
                <c:pt idx="166">
                  <c:v>1022.16</c:v>
                </c:pt>
                <c:pt idx="167">
                  <c:v>1024.76</c:v>
                </c:pt>
                <c:pt idx="168">
                  <c:v>1027.3599999999999</c:v>
                </c:pt>
                <c:pt idx="169">
                  <c:v>1029.96</c:v>
                </c:pt>
                <c:pt idx="170">
                  <c:v>1032.56</c:v>
                </c:pt>
                <c:pt idx="171">
                  <c:v>1035.1599999999999</c:v>
                </c:pt>
                <c:pt idx="172">
                  <c:v>1037.76</c:v>
                </c:pt>
                <c:pt idx="173">
                  <c:v>1040.3599999999999</c:v>
                </c:pt>
                <c:pt idx="174">
                  <c:v>1042.96</c:v>
                </c:pt>
                <c:pt idx="175">
                  <c:v>1045.56</c:v>
                </c:pt>
                <c:pt idx="176">
                  <c:v>1048.1599999999999</c:v>
                </c:pt>
                <c:pt idx="177">
                  <c:v>1050.76</c:v>
                </c:pt>
                <c:pt idx="178">
                  <c:v>1053.3599999999999</c:v>
                </c:pt>
                <c:pt idx="179">
                  <c:v>1055.96</c:v>
                </c:pt>
                <c:pt idx="180">
                  <c:v>1058.56</c:v>
                </c:pt>
                <c:pt idx="181">
                  <c:v>1061.1599999999999</c:v>
                </c:pt>
                <c:pt idx="182">
                  <c:v>1063.76</c:v>
                </c:pt>
                <c:pt idx="183">
                  <c:v>1066.3599999999999</c:v>
                </c:pt>
                <c:pt idx="184">
                  <c:v>1068.96</c:v>
                </c:pt>
                <c:pt idx="185">
                  <c:v>1071.56</c:v>
                </c:pt>
                <c:pt idx="186">
                  <c:v>1074.1599999999999</c:v>
                </c:pt>
                <c:pt idx="187">
                  <c:v>1076.76</c:v>
                </c:pt>
                <c:pt idx="188">
                  <c:v>1079.3599999999999</c:v>
                </c:pt>
                <c:pt idx="189">
                  <c:v>1081.96</c:v>
                </c:pt>
                <c:pt idx="190">
                  <c:v>1084.56</c:v>
                </c:pt>
                <c:pt idx="191">
                  <c:v>1087.1599999999999</c:v>
                </c:pt>
                <c:pt idx="192">
                  <c:v>1089.76</c:v>
                </c:pt>
                <c:pt idx="193">
                  <c:v>1092.3599999999999</c:v>
                </c:pt>
                <c:pt idx="194">
                  <c:v>1094.96</c:v>
                </c:pt>
                <c:pt idx="195">
                  <c:v>1097.56</c:v>
                </c:pt>
                <c:pt idx="196">
                  <c:v>1100.1599999999999</c:v>
                </c:pt>
                <c:pt idx="197">
                  <c:v>1102.76</c:v>
                </c:pt>
                <c:pt idx="198">
                  <c:v>1105.3600000000001</c:v>
                </c:pt>
                <c:pt idx="199">
                  <c:v>1107.96</c:v>
                </c:pt>
                <c:pt idx="200">
                  <c:v>1110.56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9C0-43B5-977B-05B15A69AF2E}"/>
            </c:ext>
          </c:extLst>
        </c:ser>
        <c:ser>
          <c:idx val="1"/>
          <c:order val="1"/>
          <c:tx>
            <c:strRef>
              <c:f>'Ejercicio 2'!$C$29</c:f>
              <c:strCache>
                <c:ptCount val="1"/>
                <c:pt idx="0">
                  <c:v>Ingreso de Ventas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9C0-43B5-977B-05B15A69AF2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'Ejercicio 2'!$A$30:$A$230</c:f>
              <c:numCache>
                <c:formatCode>General</c:formatCode>
                <c:ptCount val="2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</c:numCache>
            </c:numRef>
          </c:xVal>
          <c:yVal>
            <c:numRef>
              <c:f>'Ejercicio 2'!$C$30:$C$230</c:f>
              <c:numCache>
                <c:formatCode>_ "$"* #,##0.00_ ;_ "$"* \-#,##0.00_ ;_ "$"* "-"??_ ;_ @_ </c:formatCode>
                <c:ptCount val="201"/>
                <c:pt idx="0">
                  <c:v>0</c:v>
                </c:pt>
                <c:pt idx="1">
                  <c:v>6</c:v>
                </c:pt>
                <c:pt idx="2">
                  <c:v>12</c:v>
                </c:pt>
                <c:pt idx="3">
                  <c:v>18</c:v>
                </c:pt>
                <c:pt idx="4">
                  <c:v>24</c:v>
                </c:pt>
                <c:pt idx="5">
                  <c:v>30</c:v>
                </c:pt>
                <c:pt idx="6">
                  <c:v>36</c:v>
                </c:pt>
                <c:pt idx="7">
                  <c:v>42</c:v>
                </c:pt>
                <c:pt idx="8">
                  <c:v>48</c:v>
                </c:pt>
                <c:pt idx="9">
                  <c:v>54</c:v>
                </c:pt>
                <c:pt idx="10">
                  <c:v>60</c:v>
                </c:pt>
                <c:pt idx="11">
                  <c:v>66</c:v>
                </c:pt>
                <c:pt idx="12">
                  <c:v>72</c:v>
                </c:pt>
                <c:pt idx="13">
                  <c:v>78</c:v>
                </c:pt>
                <c:pt idx="14">
                  <c:v>84</c:v>
                </c:pt>
                <c:pt idx="15">
                  <c:v>90</c:v>
                </c:pt>
                <c:pt idx="16">
                  <c:v>96</c:v>
                </c:pt>
                <c:pt idx="17">
                  <c:v>102</c:v>
                </c:pt>
                <c:pt idx="18">
                  <c:v>108</c:v>
                </c:pt>
                <c:pt idx="19">
                  <c:v>114</c:v>
                </c:pt>
                <c:pt idx="20">
                  <c:v>120</c:v>
                </c:pt>
                <c:pt idx="21">
                  <c:v>126</c:v>
                </c:pt>
                <c:pt idx="22">
                  <c:v>132</c:v>
                </c:pt>
                <c:pt idx="23">
                  <c:v>138</c:v>
                </c:pt>
                <c:pt idx="24">
                  <c:v>144</c:v>
                </c:pt>
                <c:pt idx="25">
                  <c:v>150</c:v>
                </c:pt>
                <c:pt idx="26">
                  <c:v>156</c:v>
                </c:pt>
                <c:pt idx="27">
                  <c:v>162</c:v>
                </c:pt>
                <c:pt idx="28">
                  <c:v>168</c:v>
                </c:pt>
                <c:pt idx="29">
                  <c:v>174</c:v>
                </c:pt>
                <c:pt idx="30">
                  <c:v>180</c:v>
                </c:pt>
                <c:pt idx="31">
                  <c:v>186</c:v>
                </c:pt>
                <c:pt idx="32">
                  <c:v>192</c:v>
                </c:pt>
                <c:pt idx="33">
                  <c:v>198</c:v>
                </c:pt>
                <c:pt idx="34">
                  <c:v>204</c:v>
                </c:pt>
                <c:pt idx="35">
                  <c:v>210</c:v>
                </c:pt>
                <c:pt idx="36">
                  <c:v>216</c:v>
                </c:pt>
                <c:pt idx="37">
                  <c:v>222</c:v>
                </c:pt>
                <c:pt idx="38">
                  <c:v>228</c:v>
                </c:pt>
                <c:pt idx="39">
                  <c:v>234</c:v>
                </c:pt>
                <c:pt idx="40">
                  <c:v>240</c:v>
                </c:pt>
                <c:pt idx="41">
                  <c:v>246</c:v>
                </c:pt>
                <c:pt idx="42">
                  <c:v>252</c:v>
                </c:pt>
                <c:pt idx="43">
                  <c:v>258</c:v>
                </c:pt>
                <c:pt idx="44">
                  <c:v>264</c:v>
                </c:pt>
                <c:pt idx="45">
                  <c:v>270</c:v>
                </c:pt>
                <c:pt idx="46">
                  <c:v>276</c:v>
                </c:pt>
                <c:pt idx="47">
                  <c:v>282</c:v>
                </c:pt>
                <c:pt idx="48">
                  <c:v>288</c:v>
                </c:pt>
                <c:pt idx="49">
                  <c:v>294</c:v>
                </c:pt>
                <c:pt idx="50">
                  <c:v>300</c:v>
                </c:pt>
                <c:pt idx="51">
                  <c:v>306</c:v>
                </c:pt>
                <c:pt idx="52">
                  <c:v>312</c:v>
                </c:pt>
                <c:pt idx="53">
                  <c:v>318</c:v>
                </c:pt>
                <c:pt idx="54">
                  <c:v>324</c:v>
                </c:pt>
                <c:pt idx="55">
                  <c:v>330</c:v>
                </c:pt>
                <c:pt idx="56">
                  <c:v>336</c:v>
                </c:pt>
                <c:pt idx="57">
                  <c:v>342</c:v>
                </c:pt>
                <c:pt idx="58">
                  <c:v>348</c:v>
                </c:pt>
                <c:pt idx="59">
                  <c:v>354</c:v>
                </c:pt>
                <c:pt idx="60">
                  <c:v>360</c:v>
                </c:pt>
                <c:pt idx="61">
                  <c:v>366</c:v>
                </c:pt>
                <c:pt idx="62">
                  <c:v>372</c:v>
                </c:pt>
                <c:pt idx="63">
                  <c:v>378</c:v>
                </c:pt>
                <c:pt idx="64">
                  <c:v>384</c:v>
                </c:pt>
                <c:pt idx="65">
                  <c:v>390</c:v>
                </c:pt>
                <c:pt idx="66">
                  <c:v>396</c:v>
                </c:pt>
                <c:pt idx="67">
                  <c:v>402</c:v>
                </c:pt>
                <c:pt idx="68">
                  <c:v>408</c:v>
                </c:pt>
                <c:pt idx="69">
                  <c:v>414</c:v>
                </c:pt>
                <c:pt idx="70">
                  <c:v>420</c:v>
                </c:pt>
                <c:pt idx="71">
                  <c:v>426</c:v>
                </c:pt>
                <c:pt idx="72">
                  <c:v>432</c:v>
                </c:pt>
                <c:pt idx="73">
                  <c:v>438</c:v>
                </c:pt>
                <c:pt idx="74">
                  <c:v>444</c:v>
                </c:pt>
                <c:pt idx="75">
                  <c:v>450</c:v>
                </c:pt>
                <c:pt idx="76">
                  <c:v>456</c:v>
                </c:pt>
                <c:pt idx="77">
                  <c:v>462</c:v>
                </c:pt>
                <c:pt idx="78">
                  <c:v>468</c:v>
                </c:pt>
                <c:pt idx="79">
                  <c:v>474</c:v>
                </c:pt>
                <c:pt idx="80">
                  <c:v>480</c:v>
                </c:pt>
                <c:pt idx="81">
                  <c:v>486</c:v>
                </c:pt>
                <c:pt idx="82">
                  <c:v>492</c:v>
                </c:pt>
                <c:pt idx="83">
                  <c:v>498</c:v>
                </c:pt>
                <c:pt idx="84">
                  <c:v>504</c:v>
                </c:pt>
                <c:pt idx="85">
                  <c:v>510</c:v>
                </c:pt>
                <c:pt idx="86">
                  <c:v>516</c:v>
                </c:pt>
                <c:pt idx="87">
                  <c:v>522</c:v>
                </c:pt>
                <c:pt idx="88">
                  <c:v>528</c:v>
                </c:pt>
                <c:pt idx="89">
                  <c:v>534</c:v>
                </c:pt>
                <c:pt idx="90">
                  <c:v>540</c:v>
                </c:pt>
                <c:pt idx="91">
                  <c:v>546</c:v>
                </c:pt>
                <c:pt idx="92">
                  <c:v>552</c:v>
                </c:pt>
                <c:pt idx="93">
                  <c:v>558</c:v>
                </c:pt>
                <c:pt idx="94">
                  <c:v>564</c:v>
                </c:pt>
                <c:pt idx="95">
                  <c:v>570</c:v>
                </c:pt>
                <c:pt idx="96">
                  <c:v>576</c:v>
                </c:pt>
                <c:pt idx="97">
                  <c:v>582</c:v>
                </c:pt>
                <c:pt idx="98">
                  <c:v>588</c:v>
                </c:pt>
                <c:pt idx="99">
                  <c:v>594</c:v>
                </c:pt>
                <c:pt idx="100">
                  <c:v>600</c:v>
                </c:pt>
                <c:pt idx="101">
                  <c:v>606</c:v>
                </c:pt>
                <c:pt idx="102">
                  <c:v>612</c:v>
                </c:pt>
                <c:pt idx="103">
                  <c:v>618</c:v>
                </c:pt>
                <c:pt idx="104">
                  <c:v>624</c:v>
                </c:pt>
                <c:pt idx="105">
                  <c:v>630</c:v>
                </c:pt>
                <c:pt idx="106">
                  <c:v>636</c:v>
                </c:pt>
                <c:pt idx="107">
                  <c:v>642</c:v>
                </c:pt>
                <c:pt idx="108">
                  <c:v>648</c:v>
                </c:pt>
                <c:pt idx="109">
                  <c:v>654</c:v>
                </c:pt>
                <c:pt idx="110">
                  <c:v>660</c:v>
                </c:pt>
                <c:pt idx="111">
                  <c:v>666</c:v>
                </c:pt>
                <c:pt idx="112">
                  <c:v>672</c:v>
                </c:pt>
                <c:pt idx="113">
                  <c:v>678</c:v>
                </c:pt>
                <c:pt idx="114">
                  <c:v>684</c:v>
                </c:pt>
                <c:pt idx="115">
                  <c:v>690</c:v>
                </c:pt>
                <c:pt idx="116">
                  <c:v>696</c:v>
                </c:pt>
                <c:pt idx="117">
                  <c:v>702</c:v>
                </c:pt>
                <c:pt idx="118">
                  <c:v>708</c:v>
                </c:pt>
                <c:pt idx="119">
                  <c:v>714</c:v>
                </c:pt>
                <c:pt idx="120">
                  <c:v>720</c:v>
                </c:pt>
                <c:pt idx="121">
                  <c:v>726</c:v>
                </c:pt>
                <c:pt idx="122">
                  <c:v>732</c:v>
                </c:pt>
                <c:pt idx="123">
                  <c:v>738</c:v>
                </c:pt>
                <c:pt idx="124">
                  <c:v>744</c:v>
                </c:pt>
                <c:pt idx="125">
                  <c:v>750</c:v>
                </c:pt>
                <c:pt idx="126">
                  <c:v>756</c:v>
                </c:pt>
                <c:pt idx="127">
                  <c:v>762</c:v>
                </c:pt>
                <c:pt idx="128">
                  <c:v>768</c:v>
                </c:pt>
                <c:pt idx="129">
                  <c:v>774</c:v>
                </c:pt>
                <c:pt idx="130">
                  <c:v>780</c:v>
                </c:pt>
                <c:pt idx="131">
                  <c:v>786</c:v>
                </c:pt>
                <c:pt idx="132">
                  <c:v>792</c:v>
                </c:pt>
                <c:pt idx="133">
                  <c:v>798</c:v>
                </c:pt>
                <c:pt idx="134">
                  <c:v>804</c:v>
                </c:pt>
                <c:pt idx="135">
                  <c:v>810</c:v>
                </c:pt>
                <c:pt idx="136">
                  <c:v>816</c:v>
                </c:pt>
                <c:pt idx="137">
                  <c:v>822</c:v>
                </c:pt>
                <c:pt idx="138">
                  <c:v>828</c:v>
                </c:pt>
                <c:pt idx="139">
                  <c:v>834</c:v>
                </c:pt>
                <c:pt idx="140">
                  <c:v>840</c:v>
                </c:pt>
                <c:pt idx="141">
                  <c:v>846</c:v>
                </c:pt>
                <c:pt idx="142">
                  <c:v>852</c:v>
                </c:pt>
                <c:pt idx="143">
                  <c:v>858</c:v>
                </c:pt>
                <c:pt idx="144">
                  <c:v>864</c:v>
                </c:pt>
                <c:pt idx="145">
                  <c:v>870</c:v>
                </c:pt>
                <c:pt idx="146">
                  <c:v>876</c:v>
                </c:pt>
                <c:pt idx="147">
                  <c:v>882</c:v>
                </c:pt>
                <c:pt idx="148">
                  <c:v>888</c:v>
                </c:pt>
                <c:pt idx="149">
                  <c:v>894</c:v>
                </c:pt>
                <c:pt idx="150">
                  <c:v>900</c:v>
                </c:pt>
                <c:pt idx="151">
                  <c:v>906</c:v>
                </c:pt>
                <c:pt idx="152">
                  <c:v>912</c:v>
                </c:pt>
                <c:pt idx="153">
                  <c:v>918</c:v>
                </c:pt>
                <c:pt idx="154">
                  <c:v>924</c:v>
                </c:pt>
                <c:pt idx="155">
                  <c:v>930</c:v>
                </c:pt>
                <c:pt idx="156">
                  <c:v>936</c:v>
                </c:pt>
                <c:pt idx="157">
                  <c:v>942</c:v>
                </c:pt>
                <c:pt idx="158">
                  <c:v>948</c:v>
                </c:pt>
                <c:pt idx="159">
                  <c:v>954</c:v>
                </c:pt>
                <c:pt idx="160">
                  <c:v>960</c:v>
                </c:pt>
                <c:pt idx="161">
                  <c:v>966</c:v>
                </c:pt>
                <c:pt idx="162">
                  <c:v>972</c:v>
                </c:pt>
                <c:pt idx="163">
                  <c:v>978</c:v>
                </c:pt>
                <c:pt idx="164">
                  <c:v>984</c:v>
                </c:pt>
                <c:pt idx="165">
                  <c:v>990</c:v>
                </c:pt>
                <c:pt idx="166">
                  <c:v>996</c:v>
                </c:pt>
                <c:pt idx="167">
                  <c:v>1002</c:v>
                </c:pt>
                <c:pt idx="168">
                  <c:v>1008</c:v>
                </c:pt>
                <c:pt idx="169">
                  <c:v>1014</c:v>
                </c:pt>
                <c:pt idx="170">
                  <c:v>1020</c:v>
                </c:pt>
                <c:pt idx="171">
                  <c:v>1026</c:v>
                </c:pt>
                <c:pt idx="172">
                  <c:v>1032</c:v>
                </c:pt>
                <c:pt idx="173">
                  <c:v>1038</c:v>
                </c:pt>
                <c:pt idx="174">
                  <c:v>1044</c:v>
                </c:pt>
                <c:pt idx="175">
                  <c:v>1050</c:v>
                </c:pt>
                <c:pt idx="176">
                  <c:v>1056</c:v>
                </c:pt>
                <c:pt idx="177">
                  <c:v>1062</c:v>
                </c:pt>
                <c:pt idx="178">
                  <c:v>1068</c:v>
                </c:pt>
                <c:pt idx="179">
                  <c:v>1074</c:v>
                </c:pt>
                <c:pt idx="180">
                  <c:v>1080</c:v>
                </c:pt>
                <c:pt idx="181">
                  <c:v>1086</c:v>
                </c:pt>
                <c:pt idx="182">
                  <c:v>1092</c:v>
                </c:pt>
                <c:pt idx="183">
                  <c:v>1098</c:v>
                </c:pt>
                <c:pt idx="184">
                  <c:v>1104</c:v>
                </c:pt>
                <c:pt idx="185">
                  <c:v>1110</c:v>
                </c:pt>
                <c:pt idx="186">
                  <c:v>1116</c:v>
                </c:pt>
                <c:pt idx="187">
                  <c:v>1122</c:v>
                </c:pt>
                <c:pt idx="188">
                  <c:v>1128</c:v>
                </c:pt>
                <c:pt idx="189">
                  <c:v>1134</c:v>
                </c:pt>
                <c:pt idx="190">
                  <c:v>1140</c:v>
                </c:pt>
                <c:pt idx="191">
                  <c:v>1146</c:v>
                </c:pt>
                <c:pt idx="192">
                  <c:v>1152</c:v>
                </c:pt>
                <c:pt idx="193">
                  <c:v>1158</c:v>
                </c:pt>
                <c:pt idx="194">
                  <c:v>1164</c:v>
                </c:pt>
                <c:pt idx="195">
                  <c:v>1170</c:v>
                </c:pt>
                <c:pt idx="196">
                  <c:v>1176</c:v>
                </c:pt>
                <c:pt idx="197">
                  <c:v>1182</c:v>
                </c:pt>
                <c:pt idx="198">
                  <c:v>1188</c:v>
                </c:pt>
                <c:pt idx="199">
                  <c:v>1194</c:v>
                </c:pt>
                <c:pt idx="200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9C0-43B5-977B-05B15A69AF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3106400"/>
        <c:axId val="583114560"/>
      </c:scatterChart>
      <c:valAx>
        <c:axId val="583106400"/>
        <c:scaling>
          <c:orientation val="minMax"/>
          <c:max val="5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83114560"/>
        <c:crosses val="autoZero"/>
        <c:crossBetween val="midCat"/>
      </c:valAx>
      <c:valAx>
        <c:axId val="583114560"/>
        <c:scaling>
          <c:orientation val="minMax"/>
          <c:max val="25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&quot;$&quot;* #,##0.00_ ;_ &quot;$&quot;* \-#,##0.00_ ;_ &quot;$&quot;* &quot;-&quot;??_ ;_ @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83106400"/>
        <c:crossesAt val="0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Punto de Equilibrio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'Mi Punto de Equilibrio'!$B$29</c:f>
              <c:strCache>
                <c:ptCount val="1"/>
                <c:pt idx="0">
                  <c:v> Costo Total 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'Mi Punto de Equilibrio'!$A$30:$A$230</c:f>
              <c:numCache>
                <c:formatCode>General</c:formatCode>
                <c:ptCount val="2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</c:numCache>
            </c:numRef>
          </c:xVal>
          <c:yVal>
            <c:numRef>
              <c:f>'Mi Punto de Equilibrio'!$B$30:$B$230</c:f>
              <c:numCache>
                <c:formatCode>_ "$"* #,##0.00_ ;_ "$"* \-#,##0.00_ ;_ "$"* "-"??_ ;_ @_ </c:formatCode>
                <c:ptCount val="201"/>
                <c:pt idx="0">
                  <c:v>590.55999999999995</c:v>
                </c:pt>
                <c:pt idx="1">
                  <c:v>593.16</c:v>
                </c:pt>
                <c:pt idx="2">
                  <c:v>595.76</c:v>
                </c:pt>
                <c:pt idx="3">
                  <c:v>598.3599999999999</c:v>
                </c:pt>
                <c:pt idx="4">
                  <c:v>600.95999999999992</c:v>
                </c:pt>
                <c:pt idx="5">
                  <c:v>603.55999999999995</c:v>
                </c:pt>
                <c:pt idx="6">
                  <c:v>606.16</c:v>
                </c:pt>
                <c:pt idx="7">
                  <c:v>608.76</c:v>
                </c:pt>
                <c:pt idx="8">
                  <c:v>611.3599999999999</c:v>
                </c:pt>
                <c:pt idx="9">
                  <c:v>613.95999999999992</c:v>
                </c:pt>
                <c:pt idx="10">
                  <c:v>616.55999999999995</c:v>
                </c:pt>
                <c:pt idx="11">
                  <c:v>619.16</c:v>
                </c:pt>
                <c:pt idx="12">
                  <c:v>621.76</c:v>
                </c:pt>
                <c:pt idx="13">
                  <c:v>624.3599999999999</c:v>
                </c:pt>
                <c:pt idx="14">
                  <c:v>626.95999999999992</c:v>
                </c:pt>
                <c:pt idx="15">
                  <c:v>629.55999999999995</c:v>
                </c:pt>
                <c:pt idx="16">
                  <c:v>632.16</c:v>
                </c:pt>
                <c:pt idx="17">
                  <c:v>634.76</c:v>
                </c:pt>
                <c:pt idx="18">
                  <c:v>637.3599999999999</c:v>
                </c:pt>
                <c:pt idx="19">
                  <c:v>639.95999999999992</c:v>
                </c:pt>
                <c:pt idx="20">
                  <c:v>642.55999999999995</c:v>
                </c:pt>
                <c:pt idx="21">
                  <c:v>645.16</c:v>
                </c:pt>
                <c:pt idx="22">
                  <c:v>647.76</c:v>
                </c:pt>
                <c:pt idx="23">
                  <c:v>650.3599999999999</c:v>
                </c:pt>
                <c:pt idx="24">
                  <c:v>652.95999999999992</c:v>
                </c:pt>
                <c:pt idx="25">
                  <c:v>655.56</c:v>
                </c:pt>
                <c:pt idx="26">
                  <c:v>658.16</c:v>
                </c:pt>
                <c:pt idx="27">
                  <c:v>660.76</c:v>
                </c:pt>
                <c:pt idx="28">
                  <c:v>663.3599999999999</c:v>
                </c:pt>
                <c:pt idx="29">
                  <c:v>665.95999999999992</c:v>
                </c:pt>
                <c:pt idx="30">
                  <c:v>668.56</c:v>
                </c:pt>
                <c:pt idx="31">
                  <c:v>671.16</c:v>
                </c:pt>
                <c:pt idx="32">
                  <c:v>673.76</c:v>
                </c:pt>
                <c:pt idx="33">
                  <c:v>676.3599999999999</c:v>
                </c:pt>
                <c:pt idx="34">
                  <c:v>678.95999999999992</c:v>
                </c:pt>
                <c:pt idx="35">
                  <c:v>681.56</c:v>
                </c:pt>
                <c:pt idx="36">
                  <c:v>684.16</c:v>
                </c:pt>
                <c:pt idx="37">
                  <c:v>686.76</c:v>
                </c:pt>
                <c:pt idx="38">
                  <c:v>689.3599999999999</c:v>
                </c:pt>
                <c:pt idx="39">
                  <c:v>691.95999999999992</c:v>
                </c:pt>
                <c:pt idx="40">
                  <c:v>694.56</c:v>
                </c:pt>
                <c:pt idx="41">
                  <c:v>697.16</c:v>
                </c:pt>
                <c:pt idx="42">
                  <c:v>699.76</c:v>
                </c:pt>
                <c:pt idx="43">
                  <c:v>702.3599999999999</c:v>
                </c:pt>
                <c:pt idx="44">
                  <c:v>704.95999999999992</c:v>
                </c:pt>
                <c:pt idx="45">
                  <c:v>707.56</c:v>
                </c:pt>
                <c:pt idx="46">
                  <c:v>710.16</c:v>
                </c:pt>
                <c:pt idx="47">
                  <c:v>712.76</c:v>
                </c:pt>
                <c:pt idx="48">
                  <c:v>715.3599999999999</c:v>
                </c:pt>
                <c:pt idx="49">
                  <c:v>717.95999999999992</c:v>
                </c:pt>
                <c:pt idx="50">
                  <c:v>720.56</c:v>
                </c:pt>
                <c:pt idx="51">
                  <c:v>723.16</c:v>
                </c:pt>
                <c:pt idx="52">
                  <c:v>725.76</c:v>
                </c:pt>
                <c:pt idx="53">
                  <c:v>728.3599999999999</c:v>
                </c:pt>
                <c:pt idx="54">
                  <c:v>730.95999999999992</c:v>
                </c:pt>
                <c:pt idx="55">
                  <c:v>733.56</c:v>
                </c:pt>
                <c:pt idx="56">
                  <c:v>736.16</c:v>
                </c:pt>
                <c:pt idx="57">
                  <c:v>738.76</c:v>
                </c:pt>
                <c:pt idx="58">
                  <c:v>741.3599999999999</c:v>
                </c:pt>
                <c:pt idx="59">
                  <c:v>743.95999999999992</c:v>
                </c:pt>
                <c:pt idx="60">
                  <c:v>746.56</c:v>
                </c:pt>
                <c:pt idx="61">
                  <c:v>749.16</c:v>
                </c:pt>
                <c:pt idx="62">
                  <c:v>751.76</c:v>
                </c:pt>
                <c:pt idx="63">
                  <c:v>754.3599999999999</c:v>
                </c:pt>
                <c:pt idx="64">
                  <c:v>756.95999999999992</c:v>
                </c:pt>
                <c:pt idx="65">
                  <c:v>759.56</c:v>
                </c:pt>
                <c:pt idx="66">
                  <c:v>762.16</c:v>
                </c:pt>
                <c:pt idx="67">
                  <c:v>764.76</c:v>
                </c:pt>
                <c:pt idx="68">
                  <c:v>767.3599999999999</c:v>
                </c:pt>
                <c:pt idx="69">
                  <c:v>769.95999999999992</c:v>
                </c:pt>
                <c:pt idx="70">
                  <c:v>772.56</c:v>
                </c:pt>
                <c:pt idx="71">
                  <c:v>775.16</c:v>
                </c:pt>
                <c:pt idx="72">
                  <c:v>777.76</c:v>
                </c:pt>
                <c:pt idx="73">
                  <c:v>780.3599999999999</c:v>
                </c:pt>
                <c:pt idx="74">
                  <c:v>782.95999999999992</c:v>
                </c:pt>
                <c:pt idx="75">
                  <c:v>785.56</c:v>
                </c:pt>
                <c:pt idx="76">
                  <c:v>788.16</c:v>
                </c:pt>
                <c:pt idx="77">
                  <c:v>790.76</c:v>
                </c:pt>
                <c:pt idx="78">
                  <c:v>793.3599999999999</c:v>
                </c:pt>
                <c:pt idx="79">
                  <c:v>795.95999999999992</c:v>
                </c:pt>
                <c:pt idx="80">
                  <c:v>798.56</c:v>
                </c:pt>
                <c:pt idx="81">
                  <c:v>801.16</c:v>
                </c:pt>
                <c:pt idx="82">
                  <c:v>803.76</c:v>
                </c:pt>
                <c:pt idx="83">
                  <c:v>806.3599999999999</c:v>
                </c:pt>
                <c:pt idx="84">
                  <c:v>808.95999999999992</c:v>
                </c:pt>
                <c:pt idx="85">
                  <c:v>811.56</c:v>
                </c:pt>
                <c:pt idx="86">
                  <c:v>814.16</c:v>
                </c:pt>
                <c:pt idx="87">
                  <c:v>816.76</c:v>
                </c:pt>
                <c:pt idx="88">
                  <c:v>819.3599999999999</c:v>
                </c:pt>
                <c:pt idx="89">
                  <c:v>821.95999999999992</c:v>
                </c:pt>
                <c:pt idx="90">
                  <c:v>824.56</c:v>
                </c:pt>
                <c:pt idx="91">
                  <c:v>827.16</c:v>
                </c:pt>
                <c:pt idx="92">
                  <c:v>829.76</c:v>
                </c:pt>
                <c:pt idx="93">
                  <c:v>832.3599999999999</c:v>
                </c:pt>
                <c:pt idx="94">
                  <c:v>834.95999999999992</c:v>
                </c:pt>
                <c:pt idx="95">
                  <c:v>837.56</c:v>
                </c:pt>
                <c:pt idx="96">
                  <c:v>840.16</c:v>
                </c:pt>
                <c:pt idx="97">
                  <c:v>842.76</c:v>
                </c:pt>
                <c:pt idx="98">
                  <c:v>845.3599999999999</c:v>
                </c:pt>
                <c:pt idx="99">
                  <c:v>847.96</c:v>
                </c:pt>
                <c:pt idx="100">
                  <c:v>850.56</c:v>
                </c:pt>
                <c:pt idx="101">
                  <c:v>853.16</c:v>
                </c:pt>
                <c:pt idx="102">
                  <c:v>855.76</c:v>
                </c:pt>
                <c:pt idx="103">
                  <c:v>858.3599999999999</c:v>
                </c:pt>
                <c:pt idx="104">
                  <c:v>860.96</c:v>
                </c:pt>
                <c:pt idx="105">
                  <c:v>863.56</c:v>
                </c:pt>
                <c:pt idx="106">
                  <c:v>866.16</c:v>
                </c:pt>
                <c:pt idx="107">
                  <c:v>868.76</c:v>
                </c:pt>
                <c:pt idx="108">
                  <c:v>871.3599999999999</c:v>
                </c:pt>
                <c:pt idx="109">
                  <c:v>873.96</c:v>
                </c:pt>
                <c:pt idx="110">
                  <c:v>876.56</c:v>
                </c:pt>
                <c:pt idx="111">
                  <c:v>879.16</c:v>
                </c:pt>
                <c:pt idx="112">
                  <c:v>881.76</c:v>
                </c:pt>
                <c:pt idx="113">
                  <c:v>884.3599999999999</c:v>
                </c:pt>
                <c:pt idx="114">
                  <c:v>886.96</c:v>
                </c:pt>
                <c:pt idx="115">
                  <c:v>889.56</c:v>
                </c:pt>
                <c:pt idx="116">
                  <c:v>892.16</c:v>
                </c:pt>
                <c:pt idx="117">
                  <c:v>894.76</c:v>
                </c:pt>
                <c:pt idx="118">
                  <c:v>897.3599999999999</c:v>
                </c:pt>
                <c:pt idx="119">
                  <c:v>899.96</c:v>
                </c:pt>
                <c:pt idx="120">
                  <c:v>902.56</c:v>
                </c:pt>
                <c:pt idx="121">
                  <c:v>905.16</c:v>
                </c:pt>
                <c:pt idx="122">
                  <c:v>907.76</c:v>
                </c:pt>
                <c:pt idx="123">
                  <c:v>910.3599999999999</c:v>
                </c:pt>
                <c:pt idx="124">
                  <c:v>912.96</c:v>
                </c:pt>
                <c:pt idx="125">
                  <c:v>915.56</c:v>
                </c:pt>
                <c:pt idx="126">
                  <c:v>918.16</c:v>
                </c:pt>
                <c:pt idx="127">
                  <c:v>920.76</c:v>
                </c:pt>
                <c:pt idx="128">
                  <c:v>923.3599999999999</c:v>
                </c:pt>
                <c:pt idx="129">
                  <c:v>925.96</c:v>
                </c:pt>
                <c:pt idx="130">
                  <c:v>928.56</c:v>
                </c:pt>
                <c:pt idx="131">
                  <c:v>931.16</c:v>
                </c:pt>
                <c:pt idx="132">
                  <c:v>933.76</c:v>
                </c:pt>
                <c:pt idx="133">
                  <c:v>936.3599999999999</c:v>
                </c:pt>
                <c:pt idx="134">
                  <c:v>938.96</c:v>
                </c:pt>
                <c:pt idx="135">
                  <c:v>941.56</c:v>
                </c:pt>
                <c:pt idx="136">
                  <c:v>944.16</c:v>
                </c:pt>
                <c:pt idx="137">
                  <c:v>946.76</c:v>
                </c:pt>
                <c:pt idx="138">
                  <c:v>949.3599999999999</c:v>
                </c:pt>
                <c:pt idx="139">
                  <c:v>951.96</c:v>
                </c:pt>
                <c:pt idx="140">
                  <c:v>954.56</c:v>
                </c:pt>
                <c:pt idx="141">
                  <c:v>957.16</c:v>
                </c:pt>
                <c:pt idx="142">
                  <c:v>959.76</c:v>
                </c:pt>
                <c:pt idx="143">
                  <c:v>962.3599999999999</c:v>
                </c:pt>
                <c:pt idx="144">
                  <c:v>964.96</c:v>
                </c:pt>
                <c:pt idx="145">
                  <c:v>967.56</c:v>
                </c:pt>
                <c:pt idx="146">
                  <c:v>970.16</c:v>
                </c:pt>
                <c:pt idx="147">
                  <c:v>972.76</c:v>
                </c:pt>
                <c:pt idx="148">
                  <c:v>975.3599999999999</c:v>
                </c:pt>
                <c:pt idx="149">
                  <c:v>977.96</c:v>
                </c:pt>
                <c:pt idx="150">
                  <c:v>980.56</c:v>
                </c:pt>
                <c:pt idx="151">
                  <c:v>983.16</c:v>
                </c:pt>
                <c:pt idx="152">
                  <c:v>985.76</c:v>
                </c:pt>
                <c:pt idx="153">
                  <c:v>988.3599999999999</c:v>
                </c:pt>
                <c:pt idx="154">
                  <c:v>990.96</c:v>
                </c:pt>
                <c:pt idx="155">
                  <c:v>993.56</c:v>
                </c:pt>
                <c:pt idx="156">
                  <c:v>996.16</c:v>
                </c:pt>
                <c:pt idx="157">
                  <c:v>998.76</c:v>
                </c:pt>
                <c:pt idx="158">
                  <c:v>1001.3599999999999</c:v>
                </c:pt>
                <c:pt idx="159">
                  <c:v>1003.96</c:v>
                </c:pt>
                <c:pt idx="160">
                  <c:v>1006.56</c:v>
                </c:pt>
                <c:pt idx="161">
                  <c:v>1009.16</c:v>
                </c:pt>
                <c:pt idx="162">
                  <c:v>1011.76</c:v>
                </c:pt>
                <c:pt idx="163">
                  <c:v>1014.3599999999999</c:v>
                </c:pt>
                <c:pt idx="164">
                  <c:v>1016.96</c:v>
                </c:pt>
                <c:pt idx="165">
                  <c:v>1019.56</c:v>
                </c:pt>
                <c:pt idx="166">
                  <c:v>1022.16</c:v>
                </c:pt>
                <c:pt idx="167">
                  <c:v>1024.76</c:v>
                </c:pt>
                <c:pt idx="168">
                  <c:v>1027.3599999999999</c:v>
                </c:pt>
                <c:pt idx="169">
                  <c:v>1029.96</c:v>
                </c:pt>
                <c:pt idx="170">
                  <c:v>1032.56</c:v>
                </c:pt>
                <c:pt idx="171">
                  <c:v>1035.1599999999999</c:v>
                </c:pt>
                <c:pt idx="172">
                  <c:v>1037.76</c:v>
                </c:pt>
                <c:pt idx="173">
                  <c:v>1040.3599999999999</c:v>
                </c:pt>
                <c:pt idx="174">
                  <c:v>1042.96</c:v>
                </c:pt>
                <c:pt idx="175">
                  <c:v>1045.56</c:v>
                </c:pt>
                <c:pt idx="176">
                  <c:v>1048.1599999999999</c:v>
                </c:pt>
                <c:pt idx="177">
                  <c:v>1050.76</c:v>
                </c:pt>
                <c:pt idx="178">
                  <c:v>1053.3599999999999</c:v>
                </c:pt>
                <c:pt idx="179">
                  <c:v>1055.96</c:v>
                </c:pt>
                <c:pt idx="180">
                  <c:v>1058.56</c:v>
                </c:pt>
                <c:pt idx="181">
                  <c:v>1061.1599999999999</c:v>
                </c:pt>
                <c:pt idx="182">
                  <c:v>1063.76</c:v>
                </c:pt>
                <c:pt idx="183">
                  <c:v>1066.3599999999999</c:v>
                </c:pt>
                <c:pt idx="184">
                  <c:v>1068.96</c:v>
                </c:pt>
                <c:pt idx="185">
                  <c:v>1071.56</c:v>
                </c:pt>
                <c:pt idx="186">
                  <c:v>1074.1599999999999</c:v>
                </c:pt>
                <c:pt idx="187">
                  <c:v>1076.76</c:v>
                </c:pt>
                <c:pt idx="188">
                  <c:v>1079.3599999999999</c:v>
                </c:pt>
                <c:pt idx="189">
                  <c:v>1081.96</c:v>
                </c:pt>
                <c:pt idx="190">
                  <c:v>1084.56</c:v>
                </c:pt>
                <c:pt idx="191">
                  <c:v>1087.1599999999999</c:v>
                </c:pt>
                <c:pt idx="192">
                  <c:v>1089.76</c:v>
                </c:pt>
                <c:pt idx="193">
                  <c:v>1092.3599999999999</c:v>
                </c:pt>
                <c:pt idx="194">
                  <c:v>1094.96</c:v>
                </c:pt>
                <c:pt idx="195">
                  <c:v>1097.56</c:v>
                </c:pt>
                <c:pt idx="196">
                  <c:v>1100.1599999999999</c:v>
                </c:pt>
                <c:pt idx="197">
                  <c:v>1102.76</c:v>
                </c:pt>
                <c:pt idx="198">
                  <c:v>1105.3600000000001</c:v>
                </c:pt>
                <c:pt idx="199">
                  <c:v>1107.96</c:v>
                </c:pt>
                <c:pt idx="200">
                  <c:v>1110.56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2FF-496B-80EE-EDB21F335468}"/>
            </c:ext>
          </c:extLst>
        </c:ser>
        <c:ser>
          <c:idx val="1"/>
          <c:order val="1"/>
          <c:tx>
            <c:strRef>
              <c:f>'Mi Punto de Equilibrio'!$C$29</c:f>
              <c:strCache>
                <c:ptCount val="1"/>
                <c:pt idx="0">
                  <c:v>Ingreso de Ventas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Lbl>
              <c:idx val="1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2FF-496B-80EE-EDB21F33546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'Mi Punto de Equilibrio'!$A$30:$A$230</c:f>
              <c:numCache>
                <c:formatCode>General</c:formatCode>
                <c:ptCount val="2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</c:numCache>
            </c:numRef>
          </c:xVal>
          <c:yVal>
            <c:numRef>
              <c:f>'Mi Punto de Equilibrio'!$C$30:$C$230</c:f>
              <c:numCache>
                <c:formatCode>_ "$"* #,##0.00_ ;_ "$"* \-#,##0.00_ ;_ "$"* "-"??_ ;_ @_ </c:formatCode>
                <c:ptCount val="201"/>
                <c:pt idx="0">
                  <c:v>0</c:v>
                </c:pt>
                <c:pt idx="1">
                  <c:v>6</c:v>
                </c:pt>
                <c:pt idx="2">
                  <c:v>12</c:v>
                </c:pt>
                <c:pt idx="3">
                  <c:v>18</c:v>
                </c:pt>
                <c:pt idx="4">
                  <c:v>24</c:v>
                </c:pt>
                <c:pt idx="5">
                  <c:v>30</c:v>
                </c:pt>
                <c:pt idx="6">
                  <c:v>36</c:v>
                </c:pt>
                <c:pt idx="7">
                  <c:v>42</c:v>
                </c:pt>
                <c:pt idx="8">
                  <c:v>48</c:v>
                </c:pt>
                <c:pt idx="9">
                  <c:v>54</c:v>
                </c:pt>
                <c:pt idx="10">
                  <c:v>60</c:v>
                </c:pt>
                <c:pt idx="11">
                  <c:v>66</c:v>
                </c:pt>
                <c:pt idx="12">
                  <c:v>72</c:v>
                </c:pt>
                <c:pt idx="13">
                  <c:v>78</c:v>
                </c:pt>
                <c:pt idx="14">
                  <c:v>84</c:v>
                </c:pt>
                <c:pt idx="15">
                  <c:v>90</c:v>
                </c:pt>
                <c:pt idx="16">
                  <c:v>96</c:v>
                </c:pt>
                <c:pt idx="17">
                  <c:v>102</c:v>
                </c:pt>
                <c:pt idx="18">
                  <c:v>108</c:v>
                </c:pt>
                <c:pt idx="19">
                  <c:v>114</c:v>
                </c:pt>
                <c:pt idx="20">
                  <c:v>120</c:v>
                </c:pt>
                <c:pt idx="21">
                  <c:v>126</c:v>
                </c:pt>
                <c:pt idx="22">
                  <c:v>132</c:v>
                </c:pt>
                <c:pt idx="23">
                  <c:v>138</c:v>
                </c:pt>
                <c:pt idx="24">
                  <c:v>144</c:v>
                </c:pt>
                <c:pt idx="25">
                  <c:v>150</c:v>
                </c:pt>
                <c:pt idx="26">
                  <c:v>156</c:v>
                </c:pt>
                <c:pt idx="27">
                  <c:v>162</c:v>
                </c:pt>
                <c:pt idx="28">
                  <c:v>168</c:v>
                </c:pt>
                <c:pt idx="29">
                  <c:v>174</c:v>
                </c:pt>
                <c:pt idx="30">
                  <c:v>180</c:v>
                </c:pt>
                <c:pt idx="31">
                  <c:v>186</c:v>
                </c:pt>
                <c:pt idx="32">
                  <c:v>192</c:v>
                </c:pt>
                <c:pt idx="33">
                  <c:v>198</c:v>
                </c:pt>
                <c:pt idx="34">
                  <c:v>204</c:v>
                </c:pt>
                <c:pt idx="35">
                  <c:v>210</c:v>
                </c:pt>
                <c:pt idx="36">
                  <c:v>216</c:v>
                </c:pt>
                <c:pt idx="37">
                  <c:v>222</c:v>
                </c:pt>
                <c:pt idx="38">
                  <c:v>228</c:v>
                </c:pt>
                <c:pt idx="39">
                  <c:v>234</c:v>
                </c:pt>
                <c:pt idx="40">
                  <c:v>240</c:v>
                </c:pt>
                <c:pt idx="41">
                  <c:v>246</c:v>
                </c:pt>
                <c:pt idx="42">
                  <c:v>252</c:v>
                </c:pt>
                <c:pt idx="43">
                  <c:v>258</c:v>
                </c:pt>
                <c:pt idx="44">
                  <c:v>264</c:v>
                </c:pt>
                <c:pt idx="45">
                  <c:v>270</c:v>
                </c:pt>
                <c:pt idx="46">
                  <c:v>276</c:v>
                </c:pt>
                <c:pt idx="47">
                  <c:v>282</c:v>
                </c:pt>
                <c:pt idx="48">
                  <c:v>288</c:v>
                </c:pt>
                <c:pt idx="49">
                  <c:v>294</c:v>
                </c:pt>
                <c:pt idx="50">
                  <c:v>300</c:v>
                </c:pt>
                <c:pt idx="51">
                  <c:v>306</c:v>
                </c:pt>
                <c:pt idx="52">
                  <c:v>312</c:v>
                </c:pt>
                <c:pt idx="53">
                  <c:v>318</c:v>
                </c:pt>
                <c:pt idx="54">
                  <c:v>324</c:v>
                </c:pt>
                <c:pt idx="55">
                  <c:v>330</c:v>
                </c:pt>
                <c:pt idx="56">
                  <c:v>336</c:v>
                </c:pt>
                <c:pt idx="57">
                  <c:v>342</c:v>
                </c:pt>
                <c:pt idx="58">
                  <c:v>348</c:v>
                </c:pt>
                <c:pt idx="59">
                  <c:v>354</c:v>
                </c:pt>
                <c:pt idx="60">
                  <c:v>360</c:v>
                </c:pt>
                <c:pt idx="61">
                  <c:v>366</c:v>
                </c:pt>
                <c:pt idx="62">
                  <c:v>372</c:v>
                </c:pt>
                <c:pt idx="63">
                  <c:v>378</c:v>
                </c:pt>
                <c:pt idx="64">
                  <c:v>384</c:v>
                </c:pt>
                <c:pt idx="65">
                  <c:v>390</c:v>
                </c:pt>
                <c:pt idx="66">
                  <c:v>396</c:v>
                </c:pt>
                <c:pt idx="67">
                  <c:v>402</c:v>
                </c:pt>
                <c:pt idx="68">
                  <c:v>408</c:v>
                </c:pt>
                <c:pt idx="69">
                  <c:v>414</c:v>
                </c:pt>
                <c:pt idx="70">
                  <c:v>420</c:v>
                </c:pt>
                <c:pt idx="71">
                  <c:v>426</c:v>
                </c:pt>
                <c:pt idx="72">
                  <c:v>432</c:v>
                </c:pt>
                <c:pt idx="73">
                  <c:v>438</c:v>
                </c:pt>
                <c:pt idx="74">
                  <c:v>444</c:v>
                </c:pt>
                <c:pt idx="75">
                  <c:v>450</c:v>
                </c:pt>
                <c:pt idx="76">
                  <c:v>456</c:v>
                </c:pt>
                <c:pt idx="77">
                  <c:v>462</c:v>
                </c:pt>
                <c:pt idx="78">
                  <c:v>468</c:v>
                </c:pt>
                <c:pt idx="79">
                  <c:v>474</c:v>
                </c:pt>
                <c:pt idx="80">
                  <c:v>480</c:v>
                </c:pt>
                <c:pt idx="81">
                  <c:v>486</c:v>
                </c:pt>
                <c:pt idx="82">
                  <c:v>492</c:v>
                </c:pt>
                <c:pt idx="83">
                  <c:v>498</c:v>
                </c:pt>
                <c:pt idx="84">
                  <c:v>504</c:v>
                </c:pt>
                <c:pt idx="85">
                  <c:v>510</c:v>
                </c:pt>
                <c:pt idx="86">
                  <c:v>516</c:v>
                </c:pt>
                <c:pt idx="87">
                  <c:v>522</c:v>
                </c:pt>
                <c:pt idx="88">
                  <c:v>528</c:v>
                </c:pt>
                <c:pt idx="89">
                  <c:v>534</c:v>
                </c:pt>
                <c:pt idx="90">
                  <c:v>540</c:v>
                </c:pt>
                <c:pt idx="91">
                  <c:v>546</c:v>
                </c:pt>
                <c:pt idx="92">
                  <c:v>552</c:v>
                </c:pt>
                <c:pt idx="93">
                  <c:v>558</c:v>
                </c:pt>
                <c:pt idx="94">
                  <c:v>564</c:v>
                </c:pt>
                <c:pt idx="95">
                  <c:v>570</c:v>
                </c:pt>
                <c:pt idx="96">
                  <c:v>576</c:v>
                </c:pt>
                <c:pt idx="97">
                  <c:v>582</c:v>
                </c:pt>
                <c:pt idx="98">
                  <c:v>588</c:v>
                </c:pt>
                <c:pt idx="99">
                  <c:v>594</c:v>
                </c:pt>
                <c:pt idx="100">
                  <c:v>600</c:v>
                </c:pt>
                <c:pt idx="101">
                  <c:v>606</c:v>
                </c:pt>
                <c:pt idx="102">
                  <c:v>612</c:v>
                </c:pt>
                <c:pt idx="103">
                  <c:v>618</c:v>
                </c:pt>
                <c:pt idx="104">
                  <c:v>624</c:v>
                </c:pt>
                <c:pt idx="105">
                  <c:v>630</c:v>
                </c:pt>
                <c:pt idx="106">
                  <c:v>636</c:v>
                </c:pt>
                <c:pt idx="107">
                  <c:v>642</c:v>
                </c:pt>
                <c:pt idx="108">
                  <c:v>648</c:v>
                </c:pt>
                <c:pt idx="109">
                  <c:v>654</c:v>
                </c:pt>
                <c:pt idx="110">
                  <c:v>660</c:v>
                </c:pt>
                <c:pt idx="111">
                  <c:v>666</c:v>
                </c:pt>
                <c:pt idx="112">
                  <c:v>672</c:v>
                </c:pt>
                <c:pt idx="113">
                  <c:v>678</c:v>
                </c:pt>
                <c:pt idx="114">
                  <c:v>684</c:v>
                </c:pt>
                <c:pt idx="115">
                  <c:v>690</c:v>
                </c:pt>
                <c:pt idx="116">
                  <c:v>696</c:v>
                </c:pt>
                <c:pt idx="117">
                  <c:v>702</c:v>
                </c:pt>
                <c:pt idx="118">
                  <c:v>708</c:v>
                </c:pt>
                <c:pt idx="119">
                  <c:v>714</c:v>
                </c:pt>
                <c:pt idx="120">
                  <c:v>720</c:v>
                </c:pt>
                <c:pt idx="121">
                  <c:v>726</c:v>
                </c:pt>
                <c:pt idx="122">
                  <c:v>732</c:v>
                </c:pt>
                <c:pt idx="123">
                  <c:v>738</c:v>
                </c:pt>
                <c:pt idx="124">
                  <c:v>744</c:v>
                </c:pt>
                <c:pt idx="125">
                  <c:v>750</c:v>
                </c:pt>
                <c:pt idx="126">
                  <c:v>756</c:v>
                </c:pt>
                <c:pt idx="127">
                  <c:v>762</c:v>
                </c:pt>
                <c:pt idx="128">
                  <c:v>768</c:v>
                </c:pt>
                <c:pt idx="129">
                  <c:v>774</c:v>
                </c:pt>
                <c:pt idx="130">
                  <c:v>780</c:v>
                </c:pt>
                <c:pt idx="131">
                  <c:v>786</c:v>
                </c:pt>
                <c:pt idx="132">
                  <c:v>792</c:v>
                </c:pt>
                <c:pt idx="133">
                  <c:v>798</c:v>
                </c:pt>
                <c:pt idx="134">
                  <c:v>804</c:v>
                </c:pt>
                <c:pt idx="135">
                  <c:v>810</c:v>
                </c:pt>
                <c:pt idx="136">
                  <c:v>816</c:v>
                </c:pt>
                <c:pt idx="137">
                  <c:v>822</c:v>
                </c:pt>
                <c:pt idx="138">
                  <c:v>828</c:v>
                </c:pt>
                <c:pt idx="139">
                  <c:v>834</c:v>
                </c:pt>
                <c:pt idx="140">
                  <c:v>840</c:v>
                </c:pt>
                <c:pt idx="141">
                  <c:v>846</c:v>
                </c:pt>
                <c:pt idx="142">
                  <c:v>852</c:v>
                </c:pt>
                <c:pt idx="143">
                  <c:v>858</c:v>
                </c:pt>
                <c:pt idx="144">
                  <c:v>864</c:v>
                </c:pt>
                <c:pt idx="145">
                  <c:v>870</c:v>
                </c:pt>
                <c:pt idx="146">
                  <c:v>876</c:v>
                </c:pt>
                <c:pt idx="147">
                  <c:v>882</c:v>
                </c:pt>
                <c:pt idx="148">
                  <c:v>888</c:v>
                </c:pt>
                <c:pt idx="149">
                  <c:v>894</c:v>
                </c:pt>
                <c:pt idx="150">
                  <c:v>900</c:v>
                </c:pt>
                <c:pt idx="151">
                  <c:v>906</c:v>
                </c:pt>
                <c:pt idx="152">
                  <c:v>912</c:v>
                </c:pt>
                <c:pt idx="153">
                  <c:v>918</c:v>
                </c:pt>
                <c:pt idx="154">
                  <c:v>924</c:v>
                </c:pt>
                <c:pt idx="155">
                  <c:v>930</c:v>
                </c:pt>
                <c:pt idx="156">
                  <c:v>936</c:v>
                </c:pt>
                <c:pt idx="157">
                  <c:v>942</c:v>
                </c:pt>
                <c:pt idx="158">
                  <c:v>948</c:v>
                </c:pt>
                <c:pt idx="159">
                  <c:v>954</c:v>
                </c:pt>
                <c:pt idx="160">
                  <c:v>960</c:v>
                </c:pt>
                <c:pt idx="161">
                  <c:v>966</c:v>
                </c:pt>
                <c:pt idx="162">
                  <c:v>972</c:v>
                </c:pt>
                <c:pt idx="163">
                  <c:v>978</c:v>
                </c:pt>
                <c:pt idx="164">
                  <c:v>984</c:v>
                </c:pt>
                <c:pt idx="165">
                  <c:v>990</c:v>
                </c:pt>
                <c:pt idx="166">
                  <c:v>996</c:v>
                </c:pt>
                <c:pt idx="167">
                  <c:v>1002</c:v>
                </c:pt>
                <c:pt idx="168">
                  <c:v>1008</c:v>
                </c:pt>
                <c:pt idx="169">
                  <c:v>1014</c:v>
                </c:pt>
                <c:pt idx="170">
                  <c:v>1020</c:v>
                </c:pt>
                <c:pt idx="171">
                  <c:v>1026</c:v>
                </c:pt>
                <c:pt idx="172">
                  <c:v>1032</c:v>
                </c:pt>
                <c:pt idx="173">
                  <c:v>1038</c:v>
                </c:pt>
                <c:pt idx="174">
                  <c:v>1044</c:v>
                </c:pt>
                <c:pt idx="175">
                  <c:v>1050</c:v>
                </c:pt>
                <c:pt idx="176">
                  <c:v>1056</c:v>
                </c:pt>
                <c:pt idx="177">
                  <c:v>1062</c:v>
                </c:pt>
                <c:pt idx="178">
                  <c:v>1068</c:v>
                </c:pt>
                <c:pt idx="179">
                  <c:v>1074</c:v>
                </c:pt>
                <c:pt idx="180">
                  <c:v>1080</c:v>
                </c:pt>
                <c:pt idx="181">
                  <c:v>1086</c:v>
                </c:pt>
                <c:pt idx="182">
                  <c:v>1092</c:v>
                </c:pt>
                <c:pt idx="183">
                  <c:v>1098</c:v>
                </c:pt>
                <c:pt idx="184">
                  <c:v>1104</c:v>
                </c:pt>
                <c:pt idx="185">
                  <c:v>1110</c:v>
                </c:pt>
                <c:pt idx="186">
                  <c:v>1116</c:v>
                </c:pt>
                <c:pt idx="187">
                  <c:v>1122</c:v>
                </c:pt>
                <c:pt idx="188">
                  <c:v>1128</c:v>
                </c:pt>
                <c:pt idx="189">
                  <c:v>1134</c:v>
                </c:pt>
                <c:pt idx="190">
                  <c:v>1140</c:v>
                </c:pt>
                <c:pt idx="191">
                  <c:v>1146</c:v>
                </c:pt>
                <c:pt idx="192">
                  <c:v>1152</c:v>
                </c:pt>
                <c:pt idx="193">
                  <c:v>1158</c:v>
                </c:pt>
                <c:pt idx="194">
                  <c:v>1164</c:v>
                </c:pt>
                <c:pt idx="195">
                  <c:v>1170</c:v>
                </c:pt>
                <c:pt idx="196">
                  <c:v>1176</c:v>
                </c:pt>
                <c:pt idx="197">
                  <c:v>1182</c:v>
                </c:pt>
                <c:pt idx="198">
                  <c:v>1188</c:v>
                </c:pt>
                <c:pt idx="199">
                  <c:v>1194</c:v>
                </c:pt>
                <c:pt idx="200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2FF-496B-80EE-EDB21F3354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0370848"/>
        <c:axId val="1710371328"/>
      </c:scatterChart>
      <c:valAx>
        <c:axId val="1710370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710371328"/>
        <c:crosses val="autoZero"/>
        <c:crossBetween val="midCat"/>
      </c:valAx>
      <c:valAx>
        <c:axId val="171037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_ &quot;$&quot;* #,##0.00_ ;_ &quot;$&quot;* \-#,##0.00_ ;_ &quot;$&quot;* &quot;-&quot;??_ ;_ @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7103708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image" Target="../media/image1.jpeg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752475</xdr:colOff>
      <xdr:row>0</xdr:row>
      <xdr:rowOff>57149</xdr:rowOff>
    </xdr:from>
    <xdr:to>
      <xdr:col>6</xdr:col>
      <xdr:colOff>647700</xdr:colOff>
      <xdr:row>9</xdr:row>
      <xdr:rowOff>162432</xdr:rowOff>
    </xdr:to>
    <xdr:pic>
      <xdr:nvPicPr>
        <xdr:cNvPr id="2" name="Imagen 1" descr="Calculadora de Punto de Equilibrio: Qué es, cómo se calcula | Blog UPSJB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00525" y="57149"/>
          <a:ext cx="3067050" cy="1819783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476249</xdr:colOff>
      <xdr:row>4</xdr:row>
      <xdr:rowOff>142875</xdr:rowOff>
    </xdr:from>
    <xdr:to>
      <xdr:col>12</xdr:col>
      <xdr:colOff>600074</xdr:colOff>
      <xdr:row>9</xdr:row>
      <xdr:rowOff>161925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7858124" y="904875"/>
          <a:ext cx="3933825" cy="971550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C" sz="1400" b="1"/>
            <a:t>Ingreso</a:t>
          </a:r>
          <a:r>
            <a:rPr lang="es-EC" sz="1400" b="1" baseline="0"/>
            <a:t> de equilibrio </a:t>
          </a:r>
          <a:r>
            <a:rPr lang="es-EC" sz="1400" baseline="0"/>
            <a:t>=</a:t>
          </a:r>
        </a:p>
        <a:p>
          <a:endParaRPr lang="es-EC" sz="1400" baseline="0"/>
        </a:p>
        <a:p>
          <a:r>
            <a:rPr lang="es-EC" sz="1400" baseline="0"/>
            <a:t>Cantidad de equilibrio * Precio de Venta Unitario</a:t>
          </a:r>
          <a:endParaRPr lang="es-EC" sz="1400"/>
        </a:p>
      </xdr:txBody>
    </xdr:sp>
    <xdr:clientData/>
  </xdr:twoCellAnchor>
  <xdr:twoCellAnchor>
    <xdr:from>
      <xdr:col>3</xdr:col>
      <xdr:colOff>685799</xdr:colOff>
      <xdr:row>20</xdr:row>
      <xdr:rowOff>4762</xdr:rowOff>
    </xdr:from>
    <xdr:to>
      <xdr:col>10</xdr:col>
      <xdr:colOff>247649</xdr:colOff>
      <xdr:row>41</xdr:row>
      <xdr:rowOff>171450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353279</xdr:colOff>
      <xdr:row>0</xdr:row>
      <xdr:rowOff>47624</xdr:rowOff>
    </xdr:from>
    <xdr:to>
      <xdr:col>6</xdr:col>
      <xdr:colOff>457200</xdr:colOff>
      <xdr:row>10</xdr:row>
      <xdr:rowOff>86233</xdr:rowOff>
    </xdr:to>
    <xdr:pic>
      <xdr:nvPicPr>
        <xdr:cNvPr id="2" name="Imagen 1" descr="Calculadora de Punto de Equilibrio: Qué es, cómo se calcula | Blog UPSJB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8054" y="47624"/>
          <a:ext cx="3275746" cy="1943609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752474</xdr:colOff>
      <xdr:row>1</xdr:row>
      <xdr:rowOff>142875</xdr:rowOff>
    </xdr:from>
    <xdr:to>
      <xdr:col>12</xdr:col>
      <xdr:colOff>114299</xdr:colOff>
      <xdr:row>10</xdr:row>
      <xdr:rowOff>161925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839074" y="333375"/>
          <a:ext cx="3933825" cy="971550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C" sz="1400" b="1"/>
            <a:t>Ingreso</a:t>
          </a:r>
          <a:r>
            <a:rPr lang="es-EC" sz="1400" b="1" baseline="0"/>
            <a:t> de equilibrio </a:t>
          </a:r>
          <a:r>
            <a:rPr lang="es-EC" sz="1400" baseline="0"/>
            <a:t>=</a:t>
          </a:r>
        </a:p>
        <a:p>
          <a:endParaRPr lang="es-EC" sz="1400" baseline="0"/>
        </a:p>
        <a:p>
          <a:r>
            <a:rPr lang="es-EC" sz="1400" baseline="0"/>
            <a:t>Cantidad de equilibrio * Precio de Venta Unitario</a:t>
          </a:r>
          <a:endParaRPr lang="es-EC" sz="1400"/>
        </a:p>
      </xdr:txBody>
    </xdr:sp>
    <xdr:clientData/>
  </xdr:twoCellAnchor>
  <xdr:twoCellAnchor>
    <xdr:from>
      <xdr:col>3</xdr:col>
      <xdr:colOff>219075</xdr:colOff>
      <xdr:row>21</xdr:row>
      <xdr:rowOff>4761</xdr:rowOff>
    </xdr:from>
    <xdr:to>
      <xdr:col>9</xdr:col>
      <xdr:colOff>114300</xdr:colOff>
      <xdr:row>39</xdr:row>
      <xdr:rowOff>47624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99332</xdr:colOff>
      <xdr:row>32</xdr:row>
      <xdr:rowOff>167367</xdr:rowOff>
    </xdr:from>
    <xdr:to>
      <xdr:col>5</xdr:col>
      <xdr:colOff>230606</xdr:colOff>
      <xdr:row>33</xdr:row>
      <xdr:rowOff>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/>
      </xdr:nvCxnSpPr>
      <xdr:spPr>
        <a:xfrm>
          <a:off x="6696648" y="6263367"/>
          <a:ext cx="1514905" cy="23133"/>
        </a:xfrm>
        <a:prstGeom prst="line">
          <a:avLst/>
        </a:prstGeom>
        <a:ln w="19050" cap="flat" cmpd="sng" algn="ctr">
          <a:solidFill>
            <a:schemeClr val="accent5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5</xdr:col>
      <xdr:colOff>210553</xdr:colOff>
      <xdr:row>33</xdr:row>
      <xdr:rowOff>10026</xdr:rowOff>
    </xdr:from>
    <xdr:to>
      <xdr:col>5</xdr:col>
      <xdr:colOff>220579</xdr:colOff>
      <xdr:row>38</xdr:row>
      <xdr:rowOff>30079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/>
      </xdr:nvCxnSpPr>
      <xdr:spPr>
        <a:xfrm flipH="1">
          <a:off x="8191500" y="6296526"/>
          <a:ext cx="10026" cy="972553"/>
        </a:xfrm>
        <a:prstGeom prst="line">
          <a:avLst/>
        </a:prstGeom>
        <a:ln w="19050" cap="flat" cmpd="sng" algn="ctr">
          <a:solidFill>
            <a:schemeClr val="accent5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1022684</xdr:colOff>
      <xdr:row>29</xdr:row>
      <xdr:rowOff>20053</xdr:rowOff>
    </xdr:from>
    <xdr:to>
      <xdr:col>5</xdr:col>
      <xdr:colOff>330869</xdr:colOff>
      <xdr:row>32</xdr:row>
      <xdr:rowOff>100263</xdr:rowOff>
    </xdr:to>
    <xdr:sp macro="" textlink="">
      <xdr:nvSpPr>
        <xdr:cNvPr id="11" name="Flecha: hacia abajo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 rot="19760771">
          <a:off x="7620000" y="5544553"/>
          <a:ext cx="691816" cy="65171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3</xdr:col>
      <xdr:colOff>421105</xdr:colOff>
      <xdr:row>43</xdr:row>
      <xdr:rowOff>0</xdr:rowOff>
    </xdr:from>
    <xdr:to>
      <xdr:col>8</xdr:col>
      <xdr:colOff>184083</xdr:colOff>
      <xdr:row>57</xdr:row>
      <xdr:rowOff>65405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110289</xdr:colOff>
      <xdr:row>61</xdr:row>
      <xdr:rowOff>30079</xdr:rowOff>
    </xdr:from>
    <xdr:to>
      <xdr:col>6</xdr:col>
      <xdr:colOff>406621</xdr:colOff>
      <xdr:row>69</xdr:row>
      <xdr:rowOff>78983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91236" y="11650579"/>
          <a:ext cx="1329043" cy="1572904"/>
        </a:xfrm>
        <a:prstGeom prst="rect">
          <a:avLst/>
        </a:prstGeom>
      </xdr:spPr>
    </xdr:pic>
    <xdr:clientData/>
  </xdr:twoCellAnchor>
  <xdr:twoCellAnchor editAs="oneCell">
    <xdr:from>
      <xdr:col>4</xdr:col>
      <xdr:colOff>140369</xdr:colOff>
      <xdr:row>91</xdr:row>
      <xdr:rowOff>100264</xdr:rowOff>
    </xdr:from>
    <xdr:to>
      <xdr:col>8</xdr:col>
      <xdr:colOff>680975</xdr:colOff>
      <xdr:row>105</xdr:row>
      <xdr:rowOff>176702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737685" y="17435764"/>
          <a:ext cx="4480948" cy="2743438"/>
        </a:xfrm>
        <a:prstGeom prst="rect">
          <a:avLst/>
        </a:prstGeom>
      </xdr:spPr>
    </xdr:pic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0.29697</cdr:x>
      <cdr:y>0.35793</cdr:y>
    </cdr:from>
    <cdr:to>
      <cdr:x>0.45183</cdr:x>
      <cdr:y>0.59636</cdr:y>
    </cdr:to>
    <cdr:sp macro="" textlink="">
      <cdr:nvSpPr>
        <cdr:cNvPr id="2" name="Flecha: hacia abajo 1">
          <a:extLst xmlns:a="http://schemas.openxmlformats.org/drawingml/2006/main">
            <a:ext uri="{FF2B5EF4-FFF2-40B4-BE49-F238E27FC236}">
              <a16:creationId xmlns:a16="http://schemas.microsoft.com/office/drawing/2014/main" id="{5393CA5C-64FA-28DA-B3EA-462A7A8A3746}"/>
            </a:ext>
          </a:extLst>
        </cdr:cNvPr>
        <cdr:cNvSpPr/>
      </cdr:nvSpPr>
      <cdr:spPr>
        <a:xfrm xmlns:a="http://schemas.openxmlformats.org/drawingml/2006/main" rot="19760771">
          <a:off x="1326047" y="977998"/>
          <a:ext cx="691515" cy="651510"/>
        </a:xfrm>
        <a:prstGeom xmlns:a="http://schemas.openxmlformats.org/drawingml/2006/main" prst="downArrow">
          <a:avLst/>
        </a:prstGeom>
        <a:solidFill xmlns:a="http://schemas.openxmlformats.org/drawingml/2006/main">
          <a:schemeClr val="bg2">
            <a:lumMod val="90000"/>
          </a:schemeClr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/>
        <a:p xmlns:a="http://schemas.openxmlformats.org/drawingml/2006/main">
          <a:endParaRPr lang="es-PE"/>
        </a:p>
      </cdr:txBody>
    </cdr:sp>
  </cdr:relSizeAnchor>
  <cdr:relSizeAnchor xmlns:cdr="http://schemas.openxmlformats.org/drawingml/2006/chartDrawing">
    <cdr:from>
      <cdr:x>0.14769</cdr:x>
      <cdr:y>0.62911</cdr:y>
    </cdr:from>
    <cdr:to>
      <cdr:x>0.42371</cdr:x>
      <cdr:y>0.63306</cdr:y>
    </cdr:to>
    <cdr:cxnSp macro="">
      <cdr:nvCxnSpPr>
        <cdr:cNvPr id="3" name="Conector recto 2">
          <a:extLst xmlns:a="http://schemas.openxmlformats.org/drawingml/2006/main">
            <a:ext uri="{FF2B5EF4-FFF2-40B4-BE49-F238E27FC236}">
              <a16:creationId xmlns:a16="http://schemas.microsoft.com/office/drawing/2014/main" id="{32FE2D55-C4F6-0FF4-12FB-87574ECDCFD3}"/>
            </a:ext>
          </a:extLst>
        </cdr:cNvPr>
        <cdr:cNvCxnSpPr/>
      </cdr:nvCxnSpPr>
      <cdr:spPr>
        <a:xfrm xmlns:a="http://schemas.openxmlformats.org/drawingml/2006/main" flipV="1">
          <a:off x="659464" y="1718979"/>
          <a:ext cx="1232535" cy="10795"/>
        </a:xfrm>
        <a:prstGeom xmlns:a="http://schemas.openxmlformats.org/drawingml/2006/main" prst="line">
          <a:avLst/>
        </a:prstGeom>
        <a:ln xmlns:a="http://schemas.openxmlformats.org/drawingml/2006/main" w="19050" cap="flat" cmpd="sng" algn="ctr">
          <a:solidFill>
            <a:schemeClr val="accent5"/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0.4234</cdr:x>
      <cdr:y>0.63218</cdr:y>
    </cdr:from>
    <cdr:to>
      <cdr:x>0.4234</cdr:x>
      <cdr:y>0.90826</cdr:y>
    </cdr:to>
    <cdr:cxnSp macro="">
      <cdr:nvCxnSpPr>
        <cdr:cNvPr id="4" name="Conector recto 3">
          <a:extLst xmlns:a="http://schemas.openxmlformats.org/drawingml/2006/main">
            <a:ext uri="{FF2B5EF4-FFF2-40B4-BE49-F238E27FC236}">
              <a16:creationId xmlns:a16="http://schemas.microsoft.com/office/drawing/2014/main" id="{0900EFF6-3AA3-2ECF-D2C6-F5CE5DBA9AF5}"/>
            </a:ext>
          </a:extLst>
        </cdr:cNvPr>
        <cdr:cNvCxnSpPr/>
      </cdr:nvCxnSpPr>
      <cdr:spPr>
        <a:xfrm xmlns:a="http://schemas.openxmlformats.org/drawingml/2006/main" flipH="1">
          <a:off x="1890596" y="1727367"/>
          <a:ext cx="0" cy="754380"/>
        </a:xfrm>
        <a:prstGeom xmlns:a="http://schemas.openxmlformats.org/drawingml/2006/main" prst="line">
          <a:avLst/>
        </a:prstGeom>
        <a:ln xmlns:a="http://schemas.openxmlformats.org/drawingml/2006/main" w="19050" cap="flat" cmpd="sng" algn="ctr">
          <a:solidFill>
            <a:schemeClr val="accent5"/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752475</xdr:colOff>
      <xdr:row>0</xdr:row>
      <xdr:rowOff>57149</xdr:rowOff>
    </xdr:from>
    <xdr:to>
      <xdr:col>6</xdr:col>
      <xdr:colOff>647700</xdr:colOff>
      <xdr:row>9</xdr:row>
      <xdr:rowOff>162432</xdr:rowOff>
    </xdr:to>
    <xdr:pic>
      <xdr:nvPicPr>
        <xdr:cNvPr id="2" name="Imagen 1" descr="Calculadora de Punto de Equilibrio: Qué es, cómo se calcula | Blog UPSJB">
          <a:extLst>
            <a:ext uri="{FF2B5EF4-FFF2-40B4-BE49-F238E27FC236}">
              <a16:creationId xmlns:a16="http://schemas.microsoft.com/office/drawing/2014/main" id="{F0624459-5CB5-45EB-B745-92B3D7C5F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0" y="57149"/>
          <a:ext cx="3067050" cy="1819783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476249</xdr:colOff>
      <xdr:row>4</xdr:row>
      <xdr:rowOff>142875</xdr:rowOff>
    </xdr:from>
    <xdr:to>
      <xdr:col>12</xdr:col>
      <xdr:colOff>600074</xdr:colOff>
      <xdr:row>13</xdr:row>
      <xdr:rowOff>161925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590309E1-10A2-431A-85FD-5E1D5C64F6AB}"/>
            </a:ext>
          </a:extLst>
        </xdr:cNvPr>
        <xdr:cNvSpPr txBox="1"/>
      </xdr:nvSpPr>
      <xdr:spPr>
        <a:xfrm>
          <a:off x="8324849" y="904875"/>
          <a:ext cx="3933825" cy="971550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C" sz="1400" b="1"/>
            <a:t>Ingreso</a:t>
          </a:r>
          <a:r>
            <a:rPr lang="es-EC" sz="1400" b="1" baseline="0"/>
            <a:t> de equilibrio </a:t>
          </a:r>
          <a:r>
            <a:rPr lang="es-EC" sz="1400" baseline="0"/>
            <a:t>=</a:t>
          </a:r>
        </a:p>
        <a:p>
          <a:endParaRPr lang="es-EC" sz="1400" baseline="0"/>
        </a:p>
        <a:p>
          <a:r>
            <a:rPr lang="es-EC" sz="1400" baseline="0"/>
            <a:t>Cantidad de equilibrio * Precio de Venta Unitario</a:t>
          </a:r>
          <a:endParaRPr lang="es-EC" sz="1400"/>
        </a:p>
      </xdr:txBody>
    </xdr:sp>
    <xdr:clientData/>
  </xdr:twoCellAnchor>
  <xdr:twoCellAnchor>
    <xdr:from>
      <xdr:col>3</xdr:col>
      <xdr:colOff>685799</xdr:colOff>
      <xdr:row>24</xdr:row>
      <xdr:rowOff>4762</xdr:rowOff>
    </xdr:from>
    <xdr:to>
      <xdr:col>10</xdr:col>
      <xdr:colOff>247649</xdr:colOff>
      <xdr:row>45</xdr:row>
      <xdr:rowOff>171450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5E57B32-C278-4942-A20A-359AF8DC39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VICENTE DAVID CATOTA MESIAS" id="{2C970E48-22E2-4986-A889-F0ED6991C7CA}" userId="S::vicente.catota@iste.edu.ec::1c631034-0585-4166-b0c5-d69fca78fa65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1" dT="2025-09-06T13:46:51.31" personId="{2C970E48-22E2-4986-A889-F0ED6991C7CA}" id="{4B60C5BC-3C9F-47DB-9187-2A1DFB66CF7B}">
    <text>Este valor lo ubica Ud.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253B7-88C6-4112-9166-563BB1C96F8B}">
  <dimension ref="A3:F226"/>
  <sheetViews>
    <sheetView zoomScale="90" zoomScaleNormal="90" workbookViewId="0">
      <selection activeCell="F15" sqref="F15"/>
    </sheetView>
  </sheetViews>
  <sheetFormatPr baseColWidth="10" defaultRowHeight="15" x14ac:dyDescent="0.25"/>
  <cols>
    <col min="1" max="1" width="23" bestFit="1" customWidth="1"/>
    <col min="2" max="2" width="14.85546875" style="11" customWidth="1"/>
    <col min="3" max="3" width="20.85546875" customWidth="1"/>
    <col min="5" max="5" width="20.7109375" bestFit="1" customWidth="1"/>
    <col min="6" max="6" width="15.42578125" customWidth="1"/>
  </cols>
  <sheetData>
    <row r="3" spans="1:6" x14ac:dyDescent="0.25">
      <c r="A3" s="18" t="s">
        <v>2</v>
      </c>
      <c r="B3" s="18"/>
    </row>
    <row r="4" spans="1:6" x14ac:dyDescent="0.25">
      <c r="A4" s="1" t="s">
        <v>0</v>
      </c>
      <c r="B4" s="12" t="s">
        <v>1</v>
      </c>
    </row>
    <row r="5" spans="1:6" x14ac:dyDescent="0.25">
      <c r="A5" s="2" t="s">
        <v>3</v>
      </c>
      <c r="B5" s="3">
        <v>12000</v>
      </c>
    </row>
    <row r="6" spans="1:6" x14ac:dyDescent="0.25">
      <c r="A6" s="2" t="s">
        <v>4</v>
      </c>
      <c r="B6" s="3">
        <v>5000</v>
      </c>
    </row>
    <row r="7" spans="1:6" x14ac:dyDescent="0.25">
      <c r="A7" s="2" t="s">
        <v>5</v>
      </c>
      <c r="B7" s="3">
        <v>3000</v>
      </c>
    </row>
    <row r="8" spans="1:6" x14ac:dyDescent="0.25">
      <c r="A8" s="4" t="s">
        <v>17</v>
      </c>
      <c r="B8" s="5">
        <f>SUM(B5:B7)</f>
        <v>20000</v>
      </c>
    </row>
    <row r="12" spans="1:6" x14ac:dyDescent="0.25">
      <c r="A12" s="18" t="s">
        <v>6</v>
      </c>
      <c r="B12" s="18"/>
      <c r="E12" s="6" t="s">
        <v>11</v>
      </c>
      <c r="F12" s="7">
        <f>B8/(B21-B18)</f>
        <v>100</v>
      </c>
    </row>
    <row r="13" spans="1:6" x14ac:dyDescent="0.25">
      <c r="A13" s="1" t="s">
        <v>0</v>
      </c>
      <c r="B13" s="12" t="s">
        <v>1</v>
      </c>
    </row>
    <row r="14" spans="1:6" x14ac:dyDescent="0.25">
      <c r="A14" s="2" t="s">
        <v>7</v>
      </c>
      <c r="B14" s="3">
        <v>40</v>
      </c>
    </row>
    <row r="15" spans="1:6" x14ac:dyDescent="0.25">
      <c r="A15" s="2" t="s">
        <v>8</v>
      </c>
      <c r="B15" s="3">
        <v>45</v>
      </c>
      <c r="E15" s="6" t="s">
        <v>12</v>
      </c>
      <c r="F15" s="7">
        <f>F12*B21</f>
        <v>30000</v>
      </c>
    </row>
    <row r="16" spans="1:6" x14ac:dyDescent="0.25">
      <c r="A16" s="2" t="s">
        <v>10</v>
      </c>
      <c r="B16" s="3">
        <v>10</v>
      </c>
    </row>
    <row r="17" spans="1:3" x14ac:dyDescent="0.25">
      <c r="A17" s="2" t="s">
        <v>9</v>
      </c>
      <c r="B17" s="3">
        <v>5</v>
      </c>
    </row>
    <row r="18" spans="1:3" x14ac:dyDescent="0.25">
      <c r="A18" s="4" t="s">
        <v>18</v>
      </c>
      <c r="B18" s="5">
        <f>SUM(B14:B17)</f>
        <v>100</v>
      </c>
    </row>
    <row r="21" spans="1:3" x14ac:dyDescent="0.25">
      <c r="A21" s="4" t="s">
        <v>13</v>
      </c>
      <c r="B21" s="5">
        <v>300</v>
      </c>
    </row>
    <row r="25" spans="1:3" x14ac:dyDescent="0.25">
      <c r="A25" s="10" t="s">
        <v>14</v>
      </c>
      <c r="B25" s="14" t="s">
        <v>15</v>
      </c>
      <c r="C25" s="10" t="s">
        <v>16</v>
      </c>
    </row>
    <row r="26" spans="1:3" x14ac:dyDescent="0.25">
      <c r="A26" s="8">
        <v>0</v>
      </c>
      <c r="B26" s="13">
        <f>$B$8+$B$18*A26</f>
        <v>20000</v>
      </c>
      <c r="C26" s="9">
        <f>$B$21*A26</f>
        <v>0</v>
      </c>
    </row>
    <row r="27" spans="1:3" x14ac:dyDescent="0.25">
      <c r="A27" s="8">
        <v>1</v>
      </c>
      <c r="B27" s="13">
        <f t="shared" ref="B27:B90" si="0">$B$8+$B$18*A27</f>
        <v>20100</v>
      </c>
      <c r="C27" s="9">
        <f t="shared" ref="C27:C90" si="1">$B$21*A27</f>
        <v>300</v>
      </c>
    </row>
    <row r="28" spans="1:3" x14ac:dyDescent="0.25">
      <c r="A28" s="8">
        <v>2</v>
      </c>
      <c r="B28" s="13">
        <f t="shared" si="0"/>
        <v>20200</v>
      </c>
      <c r="C28" s="9">
        <f t="shared" si="1"/>
        <v>600</v>
      </c>
    </row>
    <row r="29" spans="1:3" x14ac:dyDescent="0.25">
      <c r="A29" s="8">
        <v>3</v>
      </c>
      <c r="B29" s="13">
        <f t="shared" si="0"/>
        <v>20300</v>
      </c>
      <c r="C29" s="9">
        <f t="shared" si="1"/>
        <v>900</v>
      </c>
    </row>
    <row r="30" spans="1:3" x14ac:dyDescent="0.25">
      <c r="A30" s="8">
        <v>4</v>
      </c>
      <c r="B30" s="13">
        <f t="shared" si="0"/>
        <v>20400</v>
      </c>
      <c r="C30" s="9">
        <f t="shared" si="1"/>
        <v>1200</v>
      </c>
    </row>
    <row r="31" spans="1:3" x14ac:dyDescent="0.25">
      <c r="A31" s="8">
        <v>5</v>
      </c>
      <c r="B31" s="13">
        <f t="shared" si="0"/>
        <v>20500</v>
      </c>
      <c r="C31" s="9">
        <f t="shared" si="1"/>
        <v>1500</v>
      </c>
    </row>
    <row r="32" spans="1:3" x14ac:dyDescent="0.25">
      <c r="A32" s="8">
        <v>6</v>
      </c>
      <c r="B32" s="13">
        <f t="shared" si="0"/>
        <v>20600</v>
      </c>
      <c r="C32" s="9">
        <f t="shared" si="1"/>
        <v>1800</v>
      </c>
    </row>
    <row r="33" spans="1:3" x14ac:dyDescent="0.25">
      <c r="A33" s="8">
        <v>7</v>
      </c>
      <c r="B33" s="13">
        <f t="shared" si="0"/>
        <v>20700</v>
      </c>
      <c r="C33" s="9">
        <f t="shared" si="1"/>
        <v>2100</v>
      </c>
    </row>
    <row r="34" spans="1:3" x14ac:dyDescent="0.25">
      <c r="A34" s="8">
        <v>8</v>
      </c>
      <c r="B34" s="13">
        <f t="shared" si="0"/>
        <v>20800</v>
      </c>
      <c r="C34" s="9">
        <f t="shared" si="1"/>
        <v>2400</v>
      </c>
    </row>
    <row r="35" spans="1:3" x14ac:dyDescent="0.25">
      <c r="A35" s="8">
        <v>9</v>
      </c>
      <c r="B35" s="13">
        <f t="shared" si="0"/>
        <v>20900</v>
      </c>
      <c r="C35" s="9">
        <f t="shared" si="1"/>
        <v>2700</v>
      </c>
    </row>
    <row r="36" spans="1:3" x14ac:dyDescent="0.25">
      <c r="A36" s="8">
        <v>10</v>
      </c>
      <c r="B36" s="13">
        <f t="shared" si="0"/>
        <v>21000</v>
      </c>
      <c r="C36" s="9">
        <f t="shared" si="1"/>
        <v>3000</v>
      </c>
    </row>
    <row r="37" spans="1:3" x14ac:dyDescent="0.25">
      <c r="A37" s="8">
        <v>11</v>
      </c>
      <c r="B37" s="13">
        <f t="shared" si="0"/>
        <v>21100</v>
      </c>
      <c r="C37" s="9">
        <f t="shared" si="1"/>
        <v>3300</v>
      </c>
    </row>
    <row r="38" spans="1:3" x14ac:dyDescent="0.25">
      <c r="A38" s="8">
        <v>12</v>
      </c>
      <c r="B38" s="13">
        <f t="shared" si="0"/>
        <v>21200</v>
      </c>
      <c r="C38" s="9">
        <f t="shared" si="1"/>
        <v>3600</v>
      </c>
    </row>
    <row r="39" spans="1:3" x14ac:dyDescent="0.25">
      <c r="A39" s="8">
        <v>13</v>
      </c>
      <c r="B39" s="13">
        <f t="shared" si="0"/>
        <v>21300</v>
      </c>
      <c r="C39" s="9">
        <f t="shared" si="1"/>
        <v>3900</v>
      </c>
    </row>
    <row r="40" spans="1:3" x14ac:dyDescent="0.25">
      <c r="A40" s="8">
        <v>14</v>
      </c>
      <c r="B40" s="13">
        <f t="shared" si="0"/>
        <v>21400</v>
      </c>
      <c r="C40" s="9">
        <f t="shared" si="1"/>
        <v>4200</v>
      </c>
    </row>
    <row r="41" spans="1:3" x14ac:dyDescent="0.25">
      <c r="A41" s="8">
        <v>15</v>
      </c>
      <c r="B41" s="13">
        <f t="shared" si="0"/>
        <v>21500</v>
      </c>
      <c r="C41" s="9">
        <f t="shared" si="1"/>
        <v>4500</v>
      </c>
    </row>
    <row r="42" spans="1:3" x14ac:dyDescent="0.25">
      <c r="A42" s="8">
        <v>16</v>
      </c>
      <c r="B42" s="13">
        <f t="shared" si="0"/>
        <v>21600</v>
      </c>
      <c r="C42" s="9">
        <f t="shared" si="1"/>
        <v>4800</v>
      </c>
    </row>
    <row r="43" spans="1:3" x14ac:dyDescent="0.25">
      <c r="A43" s="8">
        <v>17</v>
      </c>
      <c r="B43" s="13">
        <f t="shared" si="0"/>
        <v>21700</v>
      </c>
      <c r="C43" s="9">
        <f t="shared" si="1"/>
        <v>5100</v>
      </c>
    </row>
    <row r="44" spans="1:3" x14ac:dyDescent="0.25">
      <c r="A44" s="8">
        <v>18</v>
      </c>
      <c r="B44" s="13">
        <f t="shared" si="0"/>
        <v>21800</v>
      </c>
      <c r="C44" s="9">
        <f t="shared" si="1"/>
        <v>5400</v>
      </c>
    </row>
    <row r="45" spans="1:3" x14ac:dyDescent="0.25">
      <c r="A45" s="8">
        <v>19</v>
      </c>
      <c r="B45" s="13">
        <f t="shared" si="0"/>
        <v>21900</v>
      </c>
      <c r="C45" s="9">
        <f t="shared" si="1"/>
        <v>5700</v>
      </c>
    </row>
    <row r="46" spans="1:3" x14ac:dyDescent="0.25">
      <c r="A46" s="8">
        <v>20</v>
      </c>
      <c r="B46" s="13">
        <f t="shared" si="0"/>
        <v>22000</v>
      </c>
      <c r="C46" s="9">
        <f t="shared" si="1"/>
        <v>6000</v>
      </c>
    </row>
    <row r="47" spans="1:3" x14ac:dyDescent="0.25">
      <c r="A47" s="8">
        <v>21</v>
      </c>
      <c r="B47" s="13">
        <f t="shared" si="0"/>
        <v>22100</v>
      </c>
      <c r="C47" s="9">
        <f t="shared" si="1"/>
        <v>6300</v>
      </c>
    </row>
    <row r="48" spans="1:3" x14ac:dyDescent="0.25">
      <c r="A48" s="8">
        <v>22</v>
      </c>
      <c r="B48" s="13">
        <f t="shared" si="0"/>
        <v>22200</v>
      </c>
      <c r="C48" s="9">
        <f t="shared" si="1"/>
        <v>6600</v>
      </c>
    </row>
    <row r="49" spans="1:3" x14ac:dyDescent="0.25">
      <c r="A49" s="8">
        <v>23</v>
      </c>
      <c r="B49" s="13">
        <f t="shared" si="0"/>
        <v>22300</v>
      </c>
      <c r="C49" s="9">
        <f t="shared" si="1"/>
        <v>6900</v>
      </c>
    </row>
    <row r="50" spans="1:3" x14ac:dyDescent="0.25">
      <c r="A50" s="8">
        <v>24</v>
      </c>
      <c r="B50" s="13">
        <f t="shared" si="0"/>
        <v>22400</v>
      </c>
      <c r="C50" s="9">
        <f t="shared" si="1"/>
        <v>7200</v>
      </c>
    </row>
    <row r="51" spans="1:3" x14ac:dyDescent="0.25">
      <c r="A51" s="8">
        <v>25</v>
      </c>
      <c r="B51" s="13">
        <f t="shared" si="0"/>
        <v>22500</v>
      </c>
      <c r="C51" s="9">
        <f t="shared" si="1"/>
        <v>7500</v>
      </c>
    </row>
    <row r="52" spans="1:3" x14ac:dyDescent="0.25">
      <c r="A52" s="8">
        <v>26</v>
      </c>
      <c r="B52" s="13">
        <f t="shared" si="0"/>
        <v>22600</v>
      </c>
      <c r="C52" s="9">
        <f t="shared" si="1"/>
        <v>7800</v>
      </c>
    </row>
    <row r="53" spans="1:3" x14ac:dyDescent="0.25">
      <c r="A53" s="8">
        <v>27</v>
      </c>
      <c r="B53" s="13">
        <f t="shared" si="0"/>
        <v>22700</v>
      </c>
      <c r="C53" s="9">
        <f t="shared" si="1"/>
        <v>8100</v>
      </c>
    </row>
    <row r="54" spans="1:3" x14ac:dyDescent="0.25">
      <c r="A54" s="8">
        <v>28</v>
      </c>
      <c r="B54" s="13">
        <f t="shared" si="0"/>
        <v>22800</v>
      </c>
      <c r="C54" s="9">
        <f t="shared" si="1"/>
        <v>8400</v>
      </c>
    </row>
    <row r="55" spans="1:3" x14ac:dyDescent="0.25">
      <c r="A55" s="8">
        <v>29</v>
      </c>
      <c r="B55" s="13">
        <f t="shared" si="0"/>
        <v>22900</v>
      </c>
      <c r="C55" s="9">
        <f t="shared" si="1"/>
        <v>8700</v>
      </c>
    </row>
    <row r="56" spans="1:3" x14ac:dyDescent="0.25">
      <c r="A56" s="8">
        <v>30</v>
      </c>
      <c r="B56" s="13">
        <f t="shared" si="0"/>
        <v>23000</v>
      </c>
      <c r="C56" s="9">
        <f t="shared" si="1"/>
        <v>9000</v>
      </c>
    </row>
    <row r="57" spans="1:3" x14ac:dyDescent="0.25">
      <c r="A57" s="8">
        <v>31</v>
      </c>
      <c r="B57" s="13">
        <f t="shared" si="0"/>
        <v>23100</v>
      </c>
      <c r="C57" s="9">
        <f t="shared" si="1"/>
        <v>9300</v>
      </c>
    </row>
    <row r="58" spans="1:3" x14ac:dyDescent="0.25">
      <c r="A58" s="8">
        <v>32</v>
      </c>
      <c r="B58" s="13">
        <f t="shared" si="0"/>
        <v>23200</v>
      </c>
      <c r="C58" s="9">
        <f t="shared" si="1"/>
        <v>9600</v>
      </c>
    </row>
    <row r="59" spans="1:3" x14ac:dyDescent="0.25">
      <c r="A59" s="8">
        <v>33</v>
      </c>
      <c r="B59" s="13">
        <f t="shared" si="0"/>
        <v>23300</v>
      </c>
      <c r="C59" s="9">
        <f t="shared" si="1"/>
        <v>9900</v>
      </c>
    </row>
    <row r="60" spans="1:3" x14ac:dyDescent="0.25">
      <c r="A60" s="8">
        <v>34</v>
      </c>
      <c r="B60" s="13">
        <f t="shared" si="0"/>
        <v>23400</v>
      </c>
      <c r="C60" s="9">
        <f t="shared" si="1"/>
        <v>10200</v>
      </c>
    </row>
    <row r="61" spans="1:3" x14ac:dyDescent="0.25">
      <c r="A61" s="8">
        <v>35</v>
      </c>
      <c r="B61" s="13">
        <f t="shared" si="0"/>
        <v>23500</v>
      </c>
      <c r="C61" s="9">
        <f t="shared" si="1"/>
        <v>10500</v>
      </c>
    </row>
    <row r="62" spans="1:3" x14ac:dyDescent="0.25">
      <c r="A62" s="8">
        <v>36</v>
      </c>
      <c r="B62" s="13">
        <f t="shared" si="0"/>
        <v>23600</v>
      </c>
      <c r="C62" s="9">
        <f t="shared" si="1"/>
        <v>10800</v>
      </c>
    </row>
    <row r="63" spans="1:3" x14ac:dyDescent="0.25">
      <c r="A63" s="8">
        <v>37</v>
      </c>
      <c r="B63" s="13">
        <f t="shared" si="0"/>
        <v>23700</v>
      </c>
      <c r="C63" s="9">
        <f t="shared" si="1"/>
        <v>11100</v>
      </c>
    </row>
    <row r="64" spans="1:3" x14ac:dyDescent="0.25">
      <c r="A64" s="8">
        <v>38</v>
      </c>
      <c r="B64" s="13">
        <f t="shared" si="0"/>
        <v>23800</v>
      </c>
      <c r="C64" s="9">
        <f t="shared" si="1"/>
        <v>11400</v>
      </c>
    </row>
    <row r="65" spans="1:3" x14ac:dyDescent="0.25">
      <c r="A65" s="8">
        <v>39</v>
      </c>
      <c r="B65" s="13">
        <f t="shared" si="0"/>
        <v>23900</v>
      </c>
      <c r="C65" s="9">
        <f t="shared" si="1"/>
        <v>11700</v>
      </c>
    </row>
    <row r="66" spans="1:3" x14ac:dyDescent="0.25">
      <c r="A66" s="8">
        <v>40</v>
      </c>
      <c r="B66" s="13">
        <f t="shared" si="0"/>
        <v>24000</v>
      </c>
      <c r="C66" s="9">
        <f t="shared" si="1"/>
        <v>12000</v>
      </c>
    </row>
    <row r="67" spans="1:3" x14ac:dyDescent="0.25">
      <c r="A67" s="8">
        <v>41</v>
      </c>
      <c r="B67" s="13">
        <f t="shared" si="0"/>
        <v>24100</v>
      </c>
      <c r="C67" s="9">
        <f t="shared" si="1"/>
        <v>12300</v>
      </c>
    </row>
    <row r="68" spans="1:3" x14ac:dyDescent="0.25">
      <c r="A68" s="8">
        <v>42</v>
      </c>
      <c r="B68" s="13">
        <f t="shared" si="0"/>
        <v>24200</v>
      </c>
      <c r="C68" s="9">
        <f t="shared" si="1"/>
        <v>12600</v>
      </c>
    </row>
    <row r="69" spans="1:3" x14ac:dyDescent="0.25">
      <c r="A69" s="8">
        <v>43</v>
      </c>
      <c r="B69" s="13">
        <f t="shared" si="0"/>
        <v>24300</v>
      </c>
      <c r="C69" s="9">
        <f t="shared" si="1"/>
        <v>12900</v>
      </c>
    </row>
    <row r="70" spans="1:3" x14ac:dyDescent="0.25">
      <c r="A70" s="8">
        <v>44</v>
      </c>
      <c r="B70" s="13">
        <f t="shared" si="0"/>
        <v>24400</v>
      </c>
      <c r="C70" s="9">
        <f t="shared" si="1"/>
        <v>13200</v>
      </c>
    </row>
    <row r="71" spans="1:3" x14ac:dyDescent="0.25">
      <c r="A71" s="8">
        <v>45</v>
      </c>
      <c r="B71" s="13">
        <f t="shared" si="0"/>
        <v>24500</v>
      </c>
      <c r="C71" s="9">
        <f t="shared" si="1"/>
        <v>13500</v>
      </c>
    </row>
    <row r="72" spans="1:3" x14ac:dyDescent="0.25">
      <c r="A72" s="8">
        <v>46</v>
      </c>
      <c r="B72" s="13">
        <f t="shared" si="0"/>
        <v>24600</v>
      </c>
      <c r="C72" s="9">
        <f t="shared" si="1"/>
        <v>13800</v>
      </c>
    </row>
    <row r="73" spans="1:3" x14ac:dyDescent="0.25">
      <c r="A73" s="8">
        <v>47</v>
      </c>
      <c r="B73" s="13">
        <f t="shared" si="0"/>
        <v>24700</v>
      </c>
      <c r="C73" s="9">
        <f t="shared" si="1"/>
        <v>14100</v>
      </c>
    </row>
    <row r="74" spans="1:3" x14ac:dyDescent="0.25">
      <c r="A74" s="8">
        <v>48</v>
      </c>
      <c r="B74" s="13">
        <f t="shared" si="0"/>
        <v>24800</v>
      </c>
      <c r="C74" s="9">
        <f t="shared" si="1"/>
        <v>14400</v>
      </c>
    </row>
    <row r="75" spans="1:3" x14ac:dyDescent="0.25">
      <c r="A75" s="8">
        <v>49</v>
      </c>
      <c r="B75" s="13">
        <f t="shared" si="0"/>
        <v>24900</v>
      </c>
      <c r="C75" s="9">
        <f t="shared" si="1"/>
        <v>14700</v>
      </c>
    </row>
    <row r="76" spans="1:3" x14ac:dyDescent="0.25">
      <c r="A76" s="8">
        <v>50</v>
      </c>
      <c r="B76" s="13">
        <f t="shared" si="0"/>
        <v>25000</v>
      </c>
      <c r="C76" s="9">
        <f t="shared" si="1"/>
        <v>15000</v>
      </c>
    </row>
    <row r="77" spans="1:3" x14ac:dyDescent="0.25">
      <c r="A77" s="8">
        <v>51</v>
      </c>
      <c r="B77" s="13">
        <f t="shared" si="0"/>
        <v>25100</v>
      </c>
      <c r="C77" s="9">
        <f t="shared" si="1"/>
        <v>15300</v>
      </c>
    </row>
    <row r="78" spans="1:3" x14ac:dyDescent="0.25">
      <c r="A78" s="8">
        <v>52</v>
      </c>
      <c r="B78" s="13">
        <f t="shared" si="0"/>
        <v>25200</v>
      </c>
      <c r="C78" s="9">
        <f t="shared" si="1"/>
        <v>15600</v>
      </c>
    </row>
    <row r="79" spans="1:3" x14ac:dyDescent="0.25">
      <c r="A79" s="8">
        <v>53</v>
      </c>
      <c r="B79" s="13">
        <f t="shared" si="0"/>
        <v>25300</v>
      </c>
      <c r="C79" s="9">
        <f t="shared" si="1"/>
        <v>15900</v>
      </c>
    </row>
    <row r="80" spans="1:3" x14ac:dyDescent="0.25">
      <c r="A80" s="8">
        <v>54</v>
      </c>
      <c r="B80" s="13">
        <f t="shared" si="0"/>
        <v>25400</v>
      </c>
      <c r="C80" s="9">
        <f t="shared" si="1"/>
        <v>16200</v>
      </c>
    </row>
    <row r="81" spans="1:3" x14ac:dyDescent="0.25">
      <c r="A81" s="8">
        <v>55</v>
      </c>
      <c r="B81" s="13">
        <f t="shared" si="0"/>
        <v>25500</v>
      </c>
      <c r="C81" s="9">
        <f t="shared" si="1"/>
        <v>16500</v>
      </c>
    </row>
    <row r="82" spans="1:3" x14ac:dyDescent="0.25">
      <c r="A82" s="8">
        <v>56</v>
      </c>
      <c r="B82" s="13">
        <f t="shared" si="0"/>
        <v>25600</v>
      </c>
      <c r="C82" s="9">
        <f t="shared" si="1"/>
        <v>16800</v>
      </c>
    </row>
    <row r="83" spans="1:3" x14ac:dyDescent="0.25">
      <c r="A83" s="8">
        <v>57</v>
      </c>
      <c r="B83" s="13">
        <f t="shared" si="0"/>
        <v>25700</v>
      </c>
      <c r="C83" s="9">
        <f t="shared" si="1"/>
        <v>17100</v>
      </c>
    </row>
    <row r="84" spans="1:3" x14ac:dyDescent="0.25">
      <c r="A84" s="8">
        <v>58</v>
      </c>
      <c r="B84" s="13">
        <f t="shared" si="0"/>
        <v>25800</v>
      </c>
      <c r="C84" s="9">
        <f t="shared" si="1"/>
        <v>17400</v>
      </c>
    </row>
    <row r="85" spans="1:3" x14ac:dyDescent="0.25">
      <c r="A85" s="8">
        <v>59</v>
      </c>
      <c r="B85" s="13">
        <f t="shared" si="0"/>
        <v>25900</v>
      </c>
      <c r="C85" s="9">
        <f t="shared" si="1"/>
        <v>17700</v>
      </c>
    </row>
    <row r="86" spans="1:3" x14ac:dyDescent="0.25">
      <c r="A86" s="8">
        <v>60</v>
      </c>
      <c r="B86" s="13">
        <f t="shared" si="0"/>
        <v>26000</v>
      </c>
      <c r="C86" s="9">
        <f t="shared" si="1"/>
        <v>18000</v>
      </c>
    </row>
    <row r="87" spans="1:3" x14ac:dyDescent="0.25">
      <c r="A87" s="8">
        <v>61</v>
      </c>
      <c r="B87" s="13">
        <f t="shared" si="0"/>
        <v>26100</v>
      </c>
      <c r="C87" s="9">
        <f t="shared" si="1"/>
        <v>18300</v>
      </c>
    </row>
    <row r="88" spans="1:3" x14ac:dyDescent="0.25">
      <c r="A88" s="8">
        <v>62</v>
      </c>
      <c r="B88" s="13">
        <f t="shared" si="0"/>
        <v>26200</v>
      </c>
      <c r="C88" s="9">
        <f t="shared" si="1"/>
        <v>18600</v>
      </c>
    </row>
    <row r="89" spans="1:3" x14ac:dyDescent="0.25">
      <c r="A89" s="8">
        <v>63</v>
      </c>
      <c r="B89" s="13">
        <f t="shared" si="0"/>
        <v>26300</v>
      </c>
      <c r="C89" s="9">
        <f t="shared" si="1"/>
        <v>18900</v>
      </c>
    </row>
    <row r="90" spans="1:3" x14ac:dyDescent="0.25">
      <c r="A90" s="8">
        <v>64</v>
      </c>
      <c r="B90" s="13">
        <f t="shared" si="0"/>
        <v>26400</v>
      </c>
      <c r="C90" s="9">
        <f t="shared" si="1"/>
        <v>19200</v>
      </c>
    </row>
    <row r="91" spans="1:3" x14ac:dyDescent="0.25">
      <c r="A91" s="8">
        <v>65</v>
      </c>
      <c r="B91" s="13">
        <f t="shared" ref="B91:B154" si="2">$B$8+$B$18*A91</f>
        <v>26500</v>
      </c>
      <c r="C91" s="9">
        <f t="shared" ref="C91:C154" si="3">$B$21*A91</f>
        <v>19500</v>
      </c>
    </row>
    <row r="92" spans="1:3" x14ac:dyDescent="0.25">
      <c r="A92" s="8">
        <v>66</v>
      </c>
      <c r="B92" s="13">
        <f t="shared" si="2"/>
        <v>26600</v>
      </c>
      <c r="C92" s="9">
        <f t="shared" si="3"/>
        <v>19800</v>
      </c>
    </row>
    <row r="93" spans="1:3" x14ac:dyDescent="0.25">
      <c r="A93" s="8">
        <v>67</v>
      </c>
      <c r="B93" s="13">
        <f t="shared" si="2"/>
        <v>26700</v>
      </c>
      <c r="C93" s="9">
        <f t="shared" si="3"/>
        <v>20100</v>
      </c>
    </row>
    <row r="94" spans="1:3" x14ac:dyDescent="0.25">
      <c r="A94" s="8">
        <v>68</v>
      </c>
      <c r="B94" s="13">
        <f t="shared" si="2"/>
        <v>26800</v>
      </c>
      <c r="C94" s="9">
        <f t="shared" si="3"/>
        <v>20400</v>
      </c>
    </row>
    <row r="95" spans="1:3" x14ac:dyDescent="0.25">
      <c r="A95" s="8">
        <v>69</v>
      </c>
      <c r="B95" s="13">
        <f t="shared" si="2"/>
        <v>26900</v>
      </c>
      <c r="C95" s="9">
        <f t="shared" si="3"/>
        <v>20700</v>
      </c>
    </row>
    <row r="96" spans="1:3" x14ac:dyDescent="0.25">
      <c r="A96" s="8">
        <v>70</v>
      </c>
      <c r="B96" s="13">
        <f t="shared" si="2"/>
        <v>27000</v>
      </c>
      <c r="C96" s="9">
        <f t="shared" si="3"/>
        <v>21000</v>
      </c>
    </row>
    <row r="97" spans="1:3" x14ac:dyDescent="0.25">
      <c r="A97" s="8">
        <v>71</v>
      </c>
      <c r="B97" s="13">
        <f t="shared" si="2"/>
        <v>27100</v>
      </c>
      <c r="C97" s="9">
        <f t="shared" si="3"/>
        <v>21300</v>
      </c>
    </row>
    <row r="98" spans="1:3" x14ac:dyDescent="0.25">
      <c r="A98" s="8">
        <v>72</v>
      </c>
      <c r="B98" s="13">
        <f t="shared" si="2"/>
        <v>27200</v>
      </c>
      <c r="C98" s="9">
        <f t="shared" si="3"/>
        <v>21600</v>
      </c>
    </row>
    <row r="99" spans="1:3" x14ac:dyDescent="0.25">
      <c r="A99" s="8">
        <v>73</v>
      </c>
      <c r="B99" s="13">
        <f t="shared" si="2"/>
        <v>27300</v>
      </c>
      <c r="C99" s="9">
        <f t="shared" si="3"/>
        <v>21900</v>
      </c>
    </row>
    <row r="100" spans="1:3" x14ac:dyDescent="0.25">
      <c r="A100" s="8">
        <v>74</v>
      </c>
      <c r="B100" s="13">
        <f t="shared" si="2"/>
        <v>27400</v>
      </c>
      <c r="C100" s="9">
        <f t="shared" si="3"/>
        <v>22200</v>
      </c>
    </row>
    <row r="101" spans="1:3" x14ac:dyDescent="0.25">
      <c r="A101" s="8">
        <v>75</v>
      </c>
      <c r="B101" s="13">
        <f t="shared" si="2"/>
        <v>27500</v>
      </c>
      <c r="C101" s="9">
        <f t="shared" si="3"/>
        <v>22500</v>
      </c>
    </row>
    <row r="102" spans="1:3" x14ac:dyDescent="0.25">
      <c r="A102" s="8">
        <v>76</v>
      </c>
      <c r="B102" s="13">
        <f t="shared" si="2"/>
        <v>27600</v>
      </c>
      <c r="C102" s="9">
        <f t="shared" si="3"/>
        <v>22800</v>
      </c>
    </row>
    <row r="103" spans="1:3" x14ac:dyDescent="0.25">
      <c r="A103" s="8">
        <v>77</v>
      </c>
      <c r="B103" s="13">
        <f t="shared" si="2"/>
        <v>27700</v>
      </c>
      <c r="C103" s="9">
        <f t="shared" si="3"/>
        <v>23100</v>
      </c>
    </row>
    <row r="104" spans="1:3" x14ac:dyDescent="0.25">
      <c r="A104" s="8">
        <v>78</v>
      </c>
      <c r="B104" s="13">
        <f t="shared" si="2"/>
        <v>27800</v>
      </c>
      <c r="C104" s="9">
        <f t="shared" si="3"/>
        <v>23400</v>
      </c>
    </row>
    <row r="105" spans="1:3" x14ac:dyDescent="0.25">
      <c r="A105" s="8">
        <v>79</v>
      </c>
      <c r="B105" s="13">
        <f t="shared" si="2"/>
        <v>27900</v>
      </c>
      <c r="C105" s="9">
        <f t="shared" si="3"/>
        <v>23700</v>
      </c>
    </row>
    <row r="106" spans="1:3" x14ac:dyDescent="0.25">
      <c r="A106" s="8">
        <v>80</v>
      </c>
      <c r="B106" s="13">
        <f t="shared" si="2"/>
        <v>28000</v>
      </c>
      <c r="C106" s="9">
        <f t="shared" si="3"/>
        <v>24000</v>
      </c>
    </row>
    <row r="107" spans="1:3" x14ac:dyDescent="0.25">
      <c r="A107" s="8">
        <v>81</v>
      </c>
      <c r="B107" s="13">
        <f t="shared" si="2"/>
        <v>28100</v>
      </c>
      <c r="C107" s="9">
        <f t="shared" si="3"/>
        <v>24300</v>
      </c>
    </row>
    <row r="108" spans="1:3" x14ac:dyDescent="0.25">
      <c r="A108" s="8">
        <v>82</v>
      </c>
      <c r="B108" s="13">
        <f t="shared" si="2"/>
        <v>28200</v>
      </c>
      <c r="C108" s="9">
        <f t="shared" si="3"/>
        <v>24600</v>
      </c>
    </row>
    <row r="109" spans="1:3" x14ac:dyDescent="0.25">
      <c r="A109" s="8">
        <v>83</v>
      </c>
      <c r="B109" s="13">
        <f t="shared" si="2"/>
        <v>28300</v>
      </c>
      <c r="C109" s="9">
        <f t="shared" si="3"/>
        <v>24900</v>
      </c>
    </row>
    <row r="110" spans="1:3" x14ac:dyDescent="0.25">
      <c r="A110" s="8">
        <v>84</v>
      </c>
      <c r="B110" s="13">
        <f t="shared" si="2"/>
        <v>28400</v>
      </c>
      <c r="C110" s="9">
        <f t="shared" si="3"/>
        <v>25200</v>
      </c>
    </row>
    <row r="111" spans="1:3" x14ac:dyDescent="0.25">
      <c r="A111" s="8">
        <v>85</v>
      </c>
      <c r="B111" s="13">
        <f t="shared" si="2"/>
        <v>28500</v>
      </c>
      <c r="C111" s="9">
        <f t="shared" si="3"/>
        <v>25500</v>
      </c>
    </row>
    <row r="112" spans="1:3" x14ac:dyDescent="0.25">
      <c r="A112" s="8">
        <v>86</v>
      </c>
      <c r="B112" s="13">
        <f t="shared" si="2"/>
        <v>28600</v>
      </c>
      <c r="C112" s="9">
        <f t="shared" si="3"/>
        <v>25800</v>
      </c>
    </row>
    <row r="113" spans="1:3" x14ac:dyDescent="0.25">
      <c r="A113" s="8">
        <v>87</v>
      </c>
      <c r="B113" s="13">
        <f t="shared" si="2"/>
        <v>28700</v>
      </c>
      <c r="C113" s="9">
        <f t="shared" si="3"/>
        <v>26100</v>
      </c>
    </row>
    <row r="114" spans="1:3" x14ac:dyDescent="0.25">
      <c r="A114" s="8">
        <v>88</v>
      </c>
      <c r="B114" s="13">
        <f t="shared" si="2"/>
        <v>28800</v>
      </c>
      <c r="C114" s="9">
        <f t="shared" si="3"/>
        <v>26400</v>
      </c>
    </row>
    <row r="115" spans="1:3" x14ac:dyDescent="0.25">
      <c r="A115" s="8">
        <v>89</v>
      </c>
      <c r="B115" s="13">
        <f t="shared" si="2"/>
        <v>28900</v>
      </c>
      <c r="C115" s="9">
        <f t="shared" si="3"/>
        <v>26700</v>
      </c>
    </row>
    <row r="116" spans="1:3" x14ac:dyDescent="0.25">
      <c r="A116" s="8">
        <v>90</v>
      </c>
      <c r="B116" s="13">
        <f t="shared" si="2"/>
        <v>29000</v>
      </c>
      <c r="C116" s="9">
        <f t="shared" si="3"/>
        <v>27000</v>
      </c>
    </row>
    <row r="117" spans="1:3" x14ac:dyDescent="0.25">
      <c r="A117" s="8">
        <v>91</v>
      </c>
      <c r="B117" s="13">
        <f t="shared" si="2"/>
        <v>29100</v>
      </c>
      <c r="C117" s="9">
        <f t="shared" si="3"/>
        <v>27300</v>
      </c>
    </row>
    <row r="118" spans="1:3" x14ac:dyDescent="0.25">
      <c r="A118" s="8">
        <v>92</v>
      </c>
      <c r="B118" s="13">
        <f t="shared" si="2"/>
        <v>29200</v>
      </c>
      <c r="C118" s="9">
        <f t="shared" si="3"/>
        <v>27600</v>
      </c>
    </row>
    <row r="119" spans="1:3" x14ac:dyDescent="0.25">
      <c r="A119" s="8">
        <v>93</v>
      </c>
      <c r="B119" s="13">
        <f t="shared" si="2"/>
        <v>29300</v>
      </c>
      <c r="C119" s="9">
        <f t="shared" si="3"/>
        <v>27900</v>
      </c>
    </row>
    <row r="120" spans="1:3" x14ac:dyDescent="0.25">
      <c r="A120" s="8">
        <v>94</v>
      </c>
      <c r="B120" s="13">
        <f t="shared" si="2"/>
        <v>29400</v>
      </c>
      <c r="C120" s="9">
        <f t="shared" si="3"/>
        <v>28200</v>
      </c>
    </row>
    <row r="121" spans="1:3" x14ac:dyDescent="0.25">
      <c r="A121" s="8">
        <v>95</v>
      </c>
      <c r="B121" s="13">
        <f t="shared" si="2"/>
        <v>29500</v>
      </c>
      <c r="C121" s="9">
        <f t="shared" si="3"/>
        <v>28500</v>
      </c>
    </row>
    <row r="122" spans="1:3" x14ac:dyDescent="0.25">
      <c r="A122" s="8">
        <v>96</v>
      </c>
      <c r="B122" s="13">
        <f t="shared" si="2"/>
        <v>29600</v>
      </c>
      <c r="C122" s="9">
        <f t="shared" si="3"/>
        <v>28800</v>
      </c>
    </row>
    <row r="123" spans="1:3" x14ac:dyDescent="0.25">
      <c r="A123" s="8">
        <v>97</v>
      </c>
      <c r="B123" s="13">
        <f t="shared" si="2"/>
        <v>29700</v>
      </c>
      <c r="C123" s="9">
        <f t="shared" si="3"/>
        <v>29100</v>
      </c>
    </row>
    <row r="124" spans="1:3" x14ac:dyDescent="0.25">
      <c r="A124" s="8">
        <v>98</v>
      </c>
      <c r="B124" s="13">
        <f t="shared" si="2"/>
        <v>29800</v>
      </c>
      <c r="C124" s="9">
        <f t="shared" si="3"/>
        <v>29400</v>
      </c>
    </row>
    <row r="125" spans="1:3" x14ac:dyDescent="0.25">
      <c r="A125" s="8">
        <v>99</v>
      </c>
      <c r="B125" s="13">
        <f t="shared" si="2"/>
        <v>29900</v>
      </c>
      <c r="C125" s="9">
        <f t="shared" si="3"/>
        <v>29700</v>
      </c>
    </row>
    <row r="126" spans="1:3" x14ac:dyDescent="0.25">
      <c r="A126" s="8">
        <v>100</v>
      </c>
      <c r="B126" s="13">
        <f t="shared" si="2"/>
        <v>30000</v>
      </c>
      <c r="C126" s="9">
        <f t="shared" si="3"/>
        <v>30000</v>
      </c>
    </row>
    <row r="127" spans="1:3" x14ac:dyDescent="0.25">
      <c r="A127" s="15">
        <v>101</v>
      </c>
      <c r="B127" s="16">
        <f t="shared" si="2"/>
        <v>30100</v>
      </c>
      <c r="C127" s="17">
        <f t="shared" si="3"/>
        <v>30300</v>
      </c>
    </row>
    <row r="128" spans="1:3" x14ac:dyDescent="0.25">
      <c r="A128" s="8">
        <v>102</v>
      </c>
      <c r="B128" s="13">
        <f t="shared" si="2"/>
        <v>30200</v>
      </c>
      <c r="C128" s="9">
        <f t="shared" si="3"/>
        <v>30600</v>
      </c>
    </row>
    <row r="129" spans="1:3" x14ac:dyDescent="0.25">
      <c r="A129" s="8">
        <v>103</v>
      </c>
      <c r="B129" s="13">
        <f t="shared" si="2"/>
        <v>30300</v>
      </c>
      <c r="C129" s="9">
        <f t="shared" si="3"/>
        <v>30900</v>
      </c>
    </row>
    <row r="130" spans="1:3" x14ac:dyDescent="0.25">
      <c r="A130" s="8">
        <v>104</v>
      </c>
      <c r="B130" s="13">
        <f t="shared" si="2"/>
        <v>30400</v>
      </c>
      <c r="C130" s="9">
        <f t="shared" si="3"/>
        <v>31200</v>
      </c>
    </row>
    <row r="131" spans="1:3" x14ac:dyDescent="0.25">
      <c r="A131" s="8">
        <v>105</v>
      </c>
      <c r="B131" s="13">
        <f t="shared" si="2"/>
        <v>30500</v>
      </c>
      <c r="C131" s="9">
        <f t="shared" si="3"/>
        <v>31500</v>
      </c>
    </row>
    <row r="132" spans="1:3" x14ac:dyDescent="0.25">
      <c r="A132" s="8">
        <v>106</v>
      </c>
      <c r="B132" s="13">
        <f t="shared" si="2"/>
        <v>30600</v>
      </c>
      <c r="C132" s="9">
        <f t="shared" si="3"/>
        <v>31800</v>
      </c>
    </row>
    <row r="133" spans="1:3" x14ac:dyDescent="0.25">
      <c r="A133" s="8">
        <v>107</v>
      </c>
      <c r="B133" s="13">
        <f t="shared" si="2"/>
        <v>30700</v>
      </c>
      <c r="C133" s="9">
        <f t="shared" si="3"/>
        <v>32100</v>
      </c>
    </row>
    <row r="134" spans="1:3" x14ac:dyDescent="0.25">
      <c r="A134" s="8">
        <v>108</v>
      </c>
      <c r="B134" s="13">
        <f t="shared" si="2"/>
        <v>30800</v>
      </c>
      <c r="C134" s="9">
        <f t="shared" si="3"/>
        <v>32400</v>
      </c>
    </row>
    <row r="135" spans="1:3" x14ac:dyDescent="0.25">
      <c r="A135" s="8">
        <v>109</v>
      </c>
      <c r="B135" s="13">
        <f t="shared" si="2"/>
        <v>30900</v>
      </c>
      <c r="C135" s="9">
        <f t="shared" si="3"/>
        <v>32700</v>
      </c>
    </row>
    <row r="136" spans="1:3" x14ac:dyDescent="0.25">
      <c r="A136" s="8">
        <v>110</v>
      </c>
      <c r="B136" s="13">
        <f t="shared" si="2"/>
        <v>31000</v>
      </c>
      <c r="C136" s="9">
        <f t="shared" si="3"/>
        <v>33000</v>
      </c>
    </row>
    <row r="137" spans="1:3" x14ac:dyDescent="0.25">
      <c r="A137" s="8">
        <v>111</v>
      </c>
      <c r="B137" s="13">
        <f t="shared" si="2"/>
        <v>31100</v>
      </c>
      <c r="C137" s="9">
        <f t="shared" si="3"/>
        <v>33300</v>
      </c>
    </row>
    <row r="138" spans="1:3" x14ac:dyDescent="0.25">
      <c r="A138" s="8">
        <v>112</v>
      </c>
      <c r="B138" s="13">
        <f t="shared" si="2"/>
        <v>31200</v>
      </c>
      <c r="C138" s="9">
        <f t="shared" si="3"/>
        <v>33600</v>
      </c>
    </row>
    <row r="139" spans="1:3" x14ac:dyDescent="0.25">
      <c r="A139" s="8">
        <v>113</v>
      </c>
      <c r="B139" s="13">
        <f t="shared" si="2"/>
        <v>31300</v>
      </c>
      <c r="C139" s="9">
        <f t="shared" si="3"/>
        <v>33900</v>
      </c>
    </row>
    <row r="140" spans="1:3" x14ac:dyDescent="0.25">
      <c r="A140" s="8">
        <v>114</v>
      </c>
      <c r="B140" s="13">
        <f t="shared" si="2"/>
        <v>31400</v>
      </c>
      <c r="C140" s="9">
        <f t="shared" si="3"/>
        <v>34200</v>
      </c>
    </row>
    <row r="141" spans="1:3" x14ac:dyDescent="0.25">
      <c r="A141" s="8">
        <v>115</v>
      </c>
      <c r="B141" s="13">
        <f t="shared" si="2"/>
        <v>31500</v>
      </c>
      <c r="C141" s="9">
        <f t="shared" si="3"/>
        <v>34500</v>
      </c>
    </row>
    <row r="142" spans="1:3" x14ac:dyDescent="0.25">
      <c r="A142" s="8">
        <v>116</v>
      </c>
      <c r="B142" s="13">
        <f t="shared" si="2"/>
        <v>31600</v>
      </c>
      <c r="C142" s="9">
        <f t="shared" si="3"/>
        <v>34800</v>
      </c>
    </row>
    <row r="143" spans="1:3" x14ac:dyDescent="0.25">
      <c r="A143" s="8">
        <v>117</v>
      </c>
      <c r="B143" s="13">
        <f t="shared" si="2"/>
        <v>31700</v>
      </c>
      <c r="C143" s="9">
        <f t="shared" si="3"/>
        <v>35100</v>
      </c>
    </row>
    <row r="144" spans="1:3" x14ac:dyDescent="0.25">
      <c r="A144" s="8">
        <v>118</v>
      </c>
      <c r="B144" s="13">
        <f t="shared" si="2"/>
        <v>31800</v>
      </c>
      <c r="C144" s="9">
        <f t="shared" si="3"/>
        <v>35400</v>
      </c>
    </row>
    <row r="145" spans="1:3" x14ac:dyDescent="0.25">
      <c r="A145" s="8">
        <v>119</v>
      </c>
      <c r="B145" s="13">
        <f t="shared" si="2"/>
        <v>31900</v>
      </c>
      <c r="C145" s="9">
        <f t="shared" si="3"/>
        <v>35700</v>
      </c>
    </row>
    <row r="146" spans="1:3" x14ac:dyDescent="0.25">
      <c r="A146" s="8">
        <v>120</v>
      </c>
      <c r="B146" s="13">
        <f t="shared" si="2"/>
        <v>32000</v>
      </c>
      <c r="C146" s="9">
        <f t="shared" si="3"/>
        <v>36000</v>
      </c>
    </row>
    <row r="147" spans="1:3" x14ac:dyDescent="0.25">
      <c r="A147" s="8">
        <v>121</v>
      </c>
      <c r="B147" s="13">
        <f t="shared" si="2"/>
        <v>32100</v>
      </c>
      <c r="C147" s="9">
        <f t="shared" si="3"/>
        <v>36300</v>
      </c>
    </row>
    <row r="148" spans="1:3" x14ac:dyDescent="0.25">
      <c r="A148" s="8">
        <v>122</v>
      </c>
      <c r="B148" s="13">
        <f t="shared" si="2"/>
        <v>32200</v>
      </c>
      <c r="C148" s="9">
        <f t="shared" si="3"/>
        <v>36600</v>
      </c>
    </row>
    <row r="149" spans="1:3" x14ac:dyDescent="0.25">
      <c r="A149" s="8">
        <v>123</v>
      </c>
      <c r="B149" s="13">
        <f t="shared" si="2"/>
        <v>32300</v>
      </c>
      <c r="C149" s="9">
        <f t="shared" si="3"/>
        <v>36900</v>
      </c>
    </row>
    <row r="150" spans="1:3" x14ac:dyDescent="0.25">
      <c r="A150" s="8">
        <v>124</v>
      </c>
      <c r="B150" s="13">
        <f t="shared" si="2"/>
        <v>32400</v>
      </c>
      <c r="C150" s="9">
        <f t="shared" si="3"/>
        <v>37200</v>
      </c>
    </row>
    <row r="151" spans="1:3" x14ac:dyDescent="0.25">
      <c r="A151" s="8">
        <v>125</v>
      </c>
      <c r="B151" s="13">
        <f t="shared" si="2"/>
        <v>32500</v>
      </c>
      <c r="C151" s="9">
        <f t="shared" si="3"/>
        <v>37500</v>
      </c>
    </row>
    <row r="152" spans="1:3" x14ac:dyDescent="0.25">
      <c r="A152" s="8">
        <v>126</v>
      </c>
      <c r="B152" s="13">
        <f t="shared" si="2"/>
        <v>32600</v>
      </c>
      <c r="C152" s="9">
        <f t="shared" si="3"/>
        <v>37800</v>
      </c>
    </row>
    <row r="153" spans="1:3" x14ac:dyDescent="0.25">
      <c r="A153" s="8">
        <v>127</v>
      </c>
      <c r="B153" s="13">
        <f t="shared" si="2"/>
        <v>32700</v>
      </c>
      <c r="C153" s="9">
        <f t="shared" si="3"/>
        <v>38100</v>
      </c>
    </row>
    <row r="154" spans="1:3" x14ac:dyDescent="0.25">
      <c r="A154" s="8">
        <v>128</v>
      </c>
      <c r="B154" s="13">
        <f t="shared" si="2"/>
        <v>32800</v>
      </c>
      <c r="C154" s="9">
        <f t="shared" si="3"/>
        <v>38400</v>
      </c>
    </row>
    <row r="155" spans="1:3" x14ac:dyDescent="0.25">
      <c r="A155" s="8">
        <v>129</v>
      </c>
      <c r="B155" s="13">
        <f t="shared" ref="B155:B218" si="4">$B$8+$B$18*A155</f>
        <v>32900</v>
      </c>
      <c r="C155" s="9">
        <f t="shared" ref="C155:C218" si="5">$B$21*A155</f>
        <v>38700</v>
      </c>
    </row>
    <row r="156" spans="1:3" x14ac:dyDescent="0.25">
      <c r="A156" s="8">
        <v>130</v>
      </c>
      <c r="B156" s="13">
        <f t="shared" si="4"/>
        <v>33000</v>
      </c>
      <c r="C156" s="9">
        <f t="shared" si="5"/>
        <v>39000</v>
      </c>
    </row>
    <row r="157" spans="1:3" x14ac:dyDescent="0.25">
      <c r="A157" s="8">
        <v>131</v>
      </c>
      <c r="B157" s="13">
        <f t="shared" si="4"/>
        <v>33100</v>
      </c>
      <c r="C157" s="9">
        <f t="shared" si="5"/>
        <v>39300</v>
      </c>
    </row>
    <row r="158" spans="1:3" x14ac:dyDescent="0.25">
      <c r="A158" s="8">
        <v>132</v>
      </c>
      <c r="B158" s="13">
        <f t="shared" si="4"/>
        <v>33200</v>
      </c>
      <c r="C158" s="9">
        <f t="shared" si="5"/>
        <v>39600</v>
      </c>
    </row>
    <row r="159" spans="1:3" x14ac:dyDescent="0.25">
      <c r="A159" s="8">
        <v>133</v>
      </c>
      <c r="B159" s="13">
        <f t="shared" si="4"/>
        <v>33300</v>
      </c>
      <c r="C159" s="9">
        <f t="shared" si="5"/>
        <v>39900</v>
      </c>
    </row>
    <row r="160" spans="1:3" x14ac:dyDescent="0.25">
      <c r="A160" s="8">
        <v>134</v>
      </c>
      <c r="B160" s="13">
        <f t="shared" si="4"/>
        <v>33400</v>
      </c>
      <c r="C160" s="9">
        <f t="shared" si="5"/>
        <v>40200</v>
      </c>
    </row>
    <row r="161" spans="1:3" x14ac:dyDescent="0.25">
      <c r="A161" s="8">
        <v>135</v>
      </c>
      <c r="B161" s="13">
        <f t="shared" si="4"/>
        <v>33500</v>
      </c>
      <c r="C161" s="9">
        <f t="shared" si="5"/>
        <v>40500</v>
      </c>
    </row>
    <row r="162" spans="1:3" x14ac:dyDescent="0.25">
      <c r="A162" s="8">
        <v>136</v>
      </c>
      <c r="B162" s="13">
        <f t="shared" si="4"/>
        <v>33600</v>
      </c>
      <c r="C162" s="9">
        <f t="shared" si="5"/>
        <v>40800</v>
      </c>
    </row>
    <row r="163" spans="1:3" x14ac:dyDescent="0.25">
      <c r="A163" s="8">
        <v>137</v>
      </c>
      <c r="B163" s="13">
        <f t="shared" si="4"/>
        <v>33700</v>
      </c>
      <c r="C163" s="9">
        <f t="shared" si="5"/>
        <v>41100</v>
      </c>
    </row>
    <row r="164" spans="1:3" x14ac:dyDescent="0.25">
      <c r="A164" s="8">
        <v>138</v>
      </c>
      <c r="B164" s="13">
        <f t="shared" si="4"/>
        <v>33800</v>
      </c>
      <c r="C164" s="9">
        <f t="shared" si="5"/>
        <v>41400</v>
      </c>
    </row>
    <row r="165" spans="1:3" x14ac:dyDescent="0.25">
      <c r="A165" s="8">
        <v>139</v>
      </c>
      <c r="B165" s="13">
        <f t="shared" si="4"/>
        <v>33900</v>
      </c>
      <c r="C165" s="9">
        <f t="shared" si="5"/>
        <v>41700</v>
      </c>
    </row>
    <row r="166" spans="1:3" x14ac:dyDescent="0.25">
      <c r="A166" s="8">
        <v>140</v>
      </c>
      <c r="B166" s="13">
        <f t="shared" si="4"/>
        <v>34000</v>
      </c>
      <c r="C166" s="9">
        <f t="shared" si="5"/>
        <v>42000</v>
      </c>
    </row>
    <row r="167" spans="1:3" x14ac:dyDescent="0.25">
      <c r="A167" s="8">
        <v>141</v>
      </c>
      <c r="B167" s="13">
        <f t="shared" si="4"/>
        <v>34100</v>
      </c>
      <c r="C167" s="9">
        <f t="shared" si="5"/>
        <v>42300</v>
      </c>
    </row>
    <row r="168" spans="1:3" x14ac:dyDescent="0.25">
      <c r="A168" s="8">
        <v>142</v>
      </c>
      <c r="B168" s="13">
        <f t="shared" si="4"/>
        <v>34200</v>
      </c>
      <c r="C168" s="9">
        <f t="shared" si="5"/>
        <v>42600</v>
      </c>
    </row>
    <row r="169" spans="1:3" x14ac:dyDescent="0.25">
      <c r="A169" s="8">
        <v>143</v>
      </c>
      <c r="B169" s="13">
        <f t="shared" si="4"/>
        <v>34300</v>
      </c>
      <c r="C169" s="9">
        <f t="shared" si="5"/>
        <v>42900</v>
      </c>
    </row>
    <row r="170" spans="1:3" x14ac:dyDescent="0.25">
      <c r="A170" s="8">
        <v>144</v>
      </c>
      <c r="B170" s="13">
        <f t="shared" si="4"/>
        <v>34400</v>
      </c>
      <c r="C170" s="9">
        <f t="shared" si="5"/>
        <v>43200</v>
      </c>
    </row>
    <row r="171" spans="1:3" x14ac:dyDescent="0.25">
      <c r="A171" s="8">
        <v>145</v>
      </c>
      <c r="B171" s="13">
        <f t="shared" si="4"/>
        <v>34500</v>
      </c>
      <c r="C171" s="9">
        <f t="shared" si="5"/>
        <v>43500</v>
      </c>
    </row>
    <row r="172" spans="1:3" x14ac:dyDescent="0.25">
      <c r="A172" s="8">
        <v>146</v>
      </c>
      <c r="B172" s="13">
        <f t="shared" si="4"/>
        <v>34600</v>
      </c>
      <c r="C172" s="9">
        <f t="shared" si="5"/>
        <v>43800</v>
      </c>
    </row>
    <row r="173" spans="1:3" x14ac:dyDescent="0.25">
      <c r="A173" s="8">
        <v>147</v>
      </c>
      <c r="B173" s="13">
        <f t="shared" si="4"/>
        <v>34700</v>
      </c>
      <c r="C173" s="9">
        <f t="shared" si="5"/>
        <v>44100</v>
      </c>
    </row>
    <row r="174" spans="1:3" x14ac:dyDescent="0.25">
      <c r="A174" s="8">
        <v>148</v>
      </c>
      <c r="B174" s="13">
        <f t="shared" si="4"/>
        <v>34800</v>
      </c>
      <c r="C174" s="9">
        <f t="shared" si="5"/>
        <v>44400</v>
      </c>
    </row>
    <row r="175" spans="1:3" x14ac:dyDescent="0.25">
      <c r="A175" s="8">
        <v>149</v>
      </c>
      <c r="B175" s="13">
        <f t="shared" si="4"/>
        <v>34900</v>
      </c>
      <c r="C175" s="9">
        <f t="shared" si="5"/>
        <v>44700</v>
      </c>
    </row>
    <row r="176" spans="1:3" x14ac:dyDescent="0.25">
      <c r="A176" s="8">
        <v>150</v>
      </c>
      <c r="B176" s="13">
        <f t="shared" si="4"/>
        <v>35000</v>
      </c>
      <c r="C176" s="9">
        <f t="shared" si="5"/>
        <v>45000</v>
      </c>
    </row>
    <row r="177" spans="1:3" x14ac:dyDescent="0.25">
      <c r="A177" s="8">
        <v>151</v>
      </c>
      <c r="B177" s="13">
        <f t="shared" si="4"/>
        <v>35100</v>
      </c>
      <c r="C177" s="9">
        <f t="shared" si="5"/>
        <v>45300</v>
      </c>
    </row>
    <row r="178" spans="1:3" x14ac:dyDescent="0.25">
      <c r="A178" s="8">
        <v>152</v>
      </c>
      <c r="B178" s="13">
        <f t="shared" si="4"/>
        <v>35200</v>
      </c>
      <c r="C178" s="9">
        <f t="shared" si="5"/>
        <v>45600</v>
      </c>
    </row>
    <row r="179" spans="1:3" x14ac:dyDescent="0.25">
      <c r="A179" s="8">
        <v>153</v>
      </c>
      <c r="B179" s="13">
        <f t="shared" si="4"/>
        <v>35300</v>
      </c>
      <c r="C179" s="9">
        <f t="shared" si="5"/>
        <v>45900</v>
      </c>
    </row>
    <row r="180" spans="1:3" x14ac:dyDescent="0.25">
      <c r="A180" s="8">
        <v>154</v>
      </c>
      <c r="B180" s="13">
        <f t="shared" si="4"/>
        <v>35400</v>
      </c>
      <c r="C180" s="9">
        <f t="shared" si="5"/>
        <v>46200</v>
      </c>
    </row>
    <row r="181" spans="1:3" x14ac:dyDescent="0.25">
      <c r="A181" s="8">
        <v>155</v>
      </c>
      <c r="B181" s="13">
        <f t="shared" si="4"/>
        <v>35500</v>
      </c>
      <c r="C181" s="9">
        <f t="shared" si="5"/>
        <v>46500</v>
      </c>
    </row>
    <row r="182" spans="1:3" x14ac:dyDescent="0.25">
      <c r="A182" s="8">
        <v>156</v>
      </c>
      <c r="B182" s="13">
        <f t="shared" si="4"/>
        <v>35600</v>
      </c>
      <c r="C182" s="9">
        <f t="shared" si="5"/>
        <v>46800</v>
      </c>
    </row>
    <row r="183" spans="1:3" x14ac:dyDescent="0.25">
      <c r="A183" s="8">
        <v>157</v>
      </c>
      <c r="B183" s="13">
        <f t="shared" si="4"/>
        <v>35700</v>
      </c>
      <c r="C183" s="9">
        <f t="shared" si="5"/>
        <v>47100</v>
      </c>
    </row>
    <row r="184" spans="1:3" x14ac:dyDescent="0.25">
      <c r="A184" s="8">
        <v>158</v>
      </c>
      <c r="B184" s="13">
        <f t="shared" si="4"/>
        <v>35800</v>
      </c>
      <c r="C184" s="9">
        <f t="shared" si="5"/>
        <v>47400</v>
      </c>
    </row>
    <row r="185" spans="1:3" x14ac:dyDescent="0.25">
      <c r="A185" s="8">
        <v>159</v>
      </c>
      <c r="B185" s="13">
        <f t="shared" si="4"/>
        <v>35900</v>
      </c>
      <c r="C185" s="9">
        <f t="shared" si="5"/>
        <v>47700</v>
      </c>
    </row>
    <row r="186" spans="1:3" x14ac:dyDescent="0.25">
      <c r="A186" s="8">
        <v>160</v>
      </c>
      <c r="B186" s="13">
        <f t="shared" si="4"/>
        <v>36000</v>
      </c>
      <c r="C186" s="9">
        <f t="shared" si="5"/>
        <v>48000</v>
      </c>
    </row>
    <row r="187" spans="1:3" x14ac:dyDescent="0.25">
      <c r="A187" s="8">
        <v>161</v>
      </c>
      <c r="B187" s="13">
        <f t="shared" si="4"/>
        <v>36100</v>
      </c>
      <c r="C187" s="9">
        <f t="shared" si="5"/>
        <v>48300</v>
      </c>
    </row>
    <row r="188" spans="1:3" x14ac:dyDescent="0.25">
      <c r="A188" s="8">
        <v>162</v>
      </c>
      <c r="B188" s="13">
        <f t="shared" si="4"/>
        <v>36200</v>
      </c>
      <c r="C188" s="9">
        <f t="shared" si="5"/>
        <v>48600</v>
      </c>
    </row>
    <row r="189" spans="1:3" x14ac:dyDescent="0.25">
      <c r="A189" s="8">
        <v>163</v>
      </c>
      <c r="B189" s="13">
        <f t="shared" si="4"/>
        <v>36300</v>
      </c>
      <c r="C189" s="9">
        <f t="shared" si="5"/>
        <v>48900</v>
      </c>
    </row>
    <row r="190" spans="1:3" x14ac:dyDescent="0.25">
      <c r="A190" s="8">
        <v>164</v>
      </c>
      <c r="B190" s="13">
        <f t="shared" si="4"/>
        <v>36400</v>
      </c>
      <c r="C190" s="9">
        <f t="shared" si="5"/>
        <v>49200</v>
      </c>
    </row>
    <row r="191" spans="1:3" x14ac:dyDescent="0.25">
      <c r="A191" s="8">
        <v>165</v>
      </c>
      <c r="B191" s="13">
        <f t="shared" si="4"/>
        <v>36500</v>
      </c>
      <c r="C191" s="9">
        <f t="shared" si="5"/>
        <v>49500</v>
      </c>
    </row>
    <row r="192" spans="1:3" x14ac:dyDescent="0.25">
      <c r="A192" s="8">
        <v>166</v>
      </c>
      <c r="B192" s="13">
        <f t="shared" si="4"/>
        <v>36600</v>
      </c>
      <c r="C192" s="9">
        <f t="shared" si="5"/>
        <v>49800</v>
      </c>
    </row>
    <row r="193" spans="1:3" x14ac:dyDescent="0.25">
      <c r="A193" s="8">
        <v>167</v>
      </c>
      <c r="B193" s="13">
        <f t="shared" si="4"/>
        <v>36700</v>
      </c>
      <c r="C193" s="9">
        <f t="shared" si="5"/>
        <v>50100</v>
      </c>
    </row>
    <row r="194" spans="1:3" x14ac:dyDescent="0.25">
      <c r="A194" s="8">
        <v>168</v>
      </c>
      <c r="B194" s="13">
        <f t="shared" si="4"/>
        <v>36800</v>
      </c>
      <c r="C194" s="9">
        <f t="shared" si="5"/>
        <v>50400</v>
      </c>
    </row>
    <row r="195" spans="1:3" x14ac:dyDescent="0.25">
      <c r="A195" s="8">
        <v>169</v>
      </c>
      <c r="B195" s="13">
        <f t="shared" si="4"/>
        <v>36900</v>
      </c>
      <c r="C195" s="9">
        <f t="shared" si="5"/>
        <v>50700</v>
      </c>
    </row>
    <row r="196" spans="1:3" x14ac:dyDescent="0.25">
      <c r="A196" s="8">
        <v>170</v>
      </c>
      <c r="B196" s="13">
        <f t="shared" si="4"/>
        <v>37000</v>
      </c>
      <c r="C196" s="9">
        <f t="shared" si="5"/>
        <v>51000</v>
      </c>
    </row>
    <row r="197" spans="1:3" x14ac:dyDescent="0.25">
      <c r="A197" s="8">
        <v>171</v>
      </c>
      <c r="B197" s="13">
        <f t="shared" si="4"/>
        <v>37100</v>
      </c>
      <c r="C197" s="9">
        <f t="shared" si="5"/>
        <v>51300</v>
      </c>
    </row>
    <row r="198" spans="1:3" x14ac:dyDescent="0.25">
      <c r="A198" s="8">
        <v>172</v>
      </c>
      <c r="B198" s="13">
        <f t="shared" si="4"/>
        <v>37200</v>
      </c>
      <c r="C198" s="9">
        <f t="shared" si="5"/>
        <v>51600</v>
      </c>
    </row>
    <row r="199" spans="1:3" x14ac:dyDescent="0.25">
      <c r="A199" s="8">
        <v>173</v>
      </c>
      <c r="B199" s="13">
        <f t="shared" si="4"/>
        <v>37300</v>
      </c>
      <c r="C199" s="9">
        <f t="shared" si="5"/>
        <v>51900</v>
      </c>
    </row>
    <row r="200" spans="1:3" x14ac:dyDescent="0.25">
      <c r="A200" s="8">
        <v>174</v>
      </c>
      <c r="B200" s="13">
        <f t="shared" si="4"/>
        <v>37400</v>
      </c>
      <c r="C200" s="9">
        <f t="shared" si="5"/>
        <v>52200</v>
      </c>
    </row>
    <row r="201" spans="1:3" x14ac:dyDescent="0.25">
      <c r="A201" s="8">
        <v>175</v>
      </c>
      <c r="B201" s="13">
        <f t="shared" si="4"/>
        <v>37500</v>
      </c>
      <c r="C201" s="9">
        <f t="shared" si="5"/>
        <v>52500</v>
      </c>
    </row>
    <row r="202" spans="1:3" x14ac:dyDescent="0.25">
      <c r="A202" s="8">
        <v>176</v>
      </c>
      <c r="B202" s="13">
        <f t="shared" si="4"/>
        <v>37600</v>
      </c>
      <c r="C202" s="9">
        <f t="shared" si="5"/>
        <v>52800</v>
      </c>
    </row>
    <row r="203" spans="1:3" x14ac:dyDescent="0.25">
      <c r="A203" s="8">
        <v>177</v>
      </c>
      <c r="B203" s="13">
        <f t="shared" si="4"/>
        <v>37700</v>
      </c>
      <c r="C203" s="9">
        <f t="shared" si="5"/>
        <v>53100</v>
      </c>
    </row>
    <row r="204" spans="1:3" x14ac:dyDescent="0.25">
      <c r="A204" s="8">
        <v>178</v>
      </c>
      <c r="B204" s="13">
        <f t="shared" si="4"/>
        <v>37800</v>
      </c>
      <c r="C204" s="9">
        <f t="shared" si="5"/>
        <v>53400</v>
      </c>
    </row>
    <row r="205" spans="1:3" x14ac:dyDescent="0.25">
      <c r="A205" s="8">
        <v>179</v>
      </c>
      <c r="B205" s="13">
        <f t="shared" si="4"/>
        <v>37900</v>
      </c>
      <c r="C205" s="9">
        <f t="shared" si="5"/>
        <v>53700</v>
      </c>
    </row>
    <row r="206" spans="1:3" x14ac:dyDescent="0.25">
      <c r="A206" s="8">
        <v>180</v>
      </c>
      <c r="B206" s="13">
        <f t="shared" si="4"/>
        <v>38000</v>
      </c>
      <c r="C206" s="9">
        <f t="shared" si="5"/>
        <v>54000</v>
      </c>
    </row>
    <row r="207" spans="1:3" x14ac:dyDescent="0.25">
      <c r="A207" s="8">
        <v>181</v>
      </c>
      <c r="B207" s="13">
        <f t="shared" si="4"/>
        <v>38100</v>
      </c>
      <c r="C207" s="9">
        <f t="shared" si="5"/>
        <v>54300</v>
      </c>
    </row>
    <row r="208" spans="1:3" x14ac:dyDescent="0.25">
      <c r="A208" s="8">
        <v>182</v>
      </c>
      <c r="B208" s="13">
        <f t="shared" si="4"/>
        <v>38200</v>
      </c>
      <c r="C208" s="9">
        <f t="shared" si="5"/>
        <v>54600</v>
      </c>
    </row>
    <row r="209" spans="1:3" x14ac:dyDescent="0.25">
      <c r="A209" s="8">
        <v>183</v>
      </c>
      <c r="B209" s="13">
        <f t="shared" si="4"/>
        <v>38300</v>
      </c>
      <c r="C209" s="9">
        <f t="shared" si="5"/>
        <v>54900</v>
      </c>
    </row>
    <row r="210" spans="1:3" x14ac:dyDescent="0.25">
      <c r="A210" s="8">
        <v>184</v>
      </c>
      <c r="B210" s="13">
        <f t="shared" si="4"/>
        <v>38400</v>
      </c>
      <c r="C210" s="9">
        <f t="shared" si="5"/>
        <v>55200</v>
      </c>
    </row>
    <row r="211" spans="1:3" x14ac:dyDescent="0.25">
      <c r="A211" s="8">
        <v>185</v>
      </c>
      <c r="B211" s="13">
        <f t="shared" si="4"/>
        <v>38500</v>
      </c>
      <c r="C211" s="9">
        <f t="shared" si="5"/>
        <v>55500</v>
      </c>
    </row>
    <row r="212" spans="1:3" x14ac:dyDescent="0.25">
      <c r="A212" s="8">
        <v>186</v>
      </c>
      <c r="B212" s="13">
        <f t="shared" si="4"/>
        <v>38600</v>
      </c>
      <c r="C212" s="9">
        <f t="shared" si="5"/>
        <v>55800</v>
      </c>
    </row>
    <row r="213" spans="1:3" x14ac:dyDescent="0.25">
      <c r="A213" s="8">
        <v>187</v>
      </c>
      <c r="B213" s="13">
        <f t="shared" si="4"/>
        <v>38700</v>
      </c>
      <c r="C213" s="9">
        <f t="shared" si="5"/>
        <v>56100</v>
      </c>
    </row>
    <row r="214" spans="1:3" x14ac:dyDescent="0.25">
      <c r="A214" s="8">
        <v>188</v>
      </c>
      <c r="B214" s="13">
        <f t="shared" si="4"/>
        <v>38800</v>
      </c>
      <c r="C214" s="9">
        <f t="shared" si="5"/>
        <v>56400</v>
      </c>
    </row>
    <row r="215" spans="1:3" x14ac:dyDescent="0.25">
      <c r="A215" s="8">
        <v>189</v>
      </c>
      <c r="B215" s="13">
        <f t="shared" si="4"/>
        <v>38900</v>
      </c>
      <c r="C215" s="9">
        <f t="shared" si="5"/>
        <v>56700</v>
      </c>
    </row>
    <row r="216" spans="1:3" x14ac:dyDescent="0.25">
      <c r="A216" s="8">
        <v>190</v>
      </c>
      <c r="B216" s="13">
        <f t="shared" si="4"/>
        <v>39000</v>
      </c>
      <c r="C216" s="9">
        <f t="shared" si="5"/>
        <v>57000</v>
      </c>
    </row>
    <row r="217" spans="1:3" x14ac:dyDescent="0.25">
      <c r="A217" s="8">
        <v>191</v>
      </c>
      <c r="B217" s="13">
        <f t="shared" si="4"/>
        <v>39100</v>
      </c>
      <c r="C217" s="9">
        <f t="shared" si="5"/>
        <v>57300</v>
      </c>
    </row>
    <row r="218" spans="1:3" x14ac:dyDescent="0.25">
      <c r="A218" s="8">
        <v>192</v>
      </c>
      <c r="B218" s="13">
        <f t="shared" si="4"/>
        <v>39200</v>
      </c>
      <c r="C218" s="9">
        <f t="shared" si="5"/>
        <v>57600</v>
      </c>
    </row>
    <row r="219" spans="1:3" x14ac:dyDescent="0.25">
      <c r="A219" s="8">
        <v>193</v>
      </c>
      <c r="B219" s="13">
        <f t="shared" ref="B219:B226" si="6">$B$8+$B$18*A219</f>
        <v>39300</v>
      </c>
      <c r="C219" s="9">
        <f t="shared" ref="C219:C226" si="7">$B$21*A219</f>
        <v>57900</v>
      </c>
    </row>
    <row r="220" spans="1:3" x14ac:dyDescent="0.25">
      <c r="A220" s="8">
        <v>194</v>
      </c>
      <c r="B220" s="13">
        <f t="shared" si="6"/>
        <v>39400</v>
      </c>
      <c r="C220" s="9">
        <f t="shared" si="7"/>
        <v>58200</v>
      </c>
    </row>
    <row r="221" spans="1:3" x14ac:dyDescent="0.25">
      <c r="A221" s="8">
        <v>195</v>
      </c>
      <c r="B221" s="13">
        <f t="shared" si="6"/>
        <v>39500</v>
      </c>
      <c r="C221" s="9">
        <f t="shared" si="7"/>
        <v>58500</v>
      </c>
    </row>
    <row r="222" spans="1:3" x14ac:dyDescent="0.25">
      <c r="A222" s="8">
        <v>196</v>
      </c>
      <c r="B222" s="13">
        <f t="shared" si="6"/>
        <v>39600</v>
      </c>
      <c r="C222" s="9">
        <f t="shared" si="7"/>
        <v>58800</v>
      </c>
    </row>
    <row r="223" spans="1:3" x14ac:dyDescent="0.25">
      <c r="A223" s="8">
        <v>197</v>
      </c>
      <c r="B223" s="13">
        <f t="shared" si="6"/>
        <v>39700</v>
      </c>
      <c r="C223" s="9">
        <f t="shared" si="7"/>
        <v>59100</v>
      </c>
    </row>
    <row r="224" spans="1:3" x14ac:dyDescent="0.25">
      <c r="A224" s="8">
        <v>198</v>
      </c>
      <c r="B224" s="13">
        <f t="shared" si="6"/>
        <v>39800</v>
      </c>
      <c r="C224" s="9">
        <f t="shared" si="7"/>
        <v>59400</v>
      </c>
    </row>
    <row r="225" spans="1:3" x14ac:dyDescent="0.25">
      <c r="A225" s="8">
        <v>199</v>
      </c>
      <c r="B225" s="13">
        <f t="shared" si="6"/>
        <v>39900</v>
      </c>
      <c r="C225" s="9">
        <f t="shared" si="7"/>
        <v>59700</v>
      </c>
    </row>
    <row r="226" spans="1:3" x14ac:dyDescent="0.25">
      <c r="A226" s="8">
        <v>200</v>
      </c>
      <c r="B226" s="13">
        <f t="shared" si="6"/>
        <v>40000</v>
      </c>
      <c r="C226" s="9">
        <f t="shared" si="7"/>
        <v>60000</v>
      </c>
    </row>
  </sheetData>
  <mergeCells count="2">
    <mergeCell ref="A3:B3"/>
    <mergeCell ref="A12:B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95A93-FC5C-4DD4-A0AD-5BD9DCA4E701}">
  <dimension ref="A3:K255"/>
  <sheetViews>
    <sheetView topLeftCell="A31" zoomScale="95" zoomScaleNormal="95" workbookViewId="0">
      <selection activeCell="F19" sqref="F19"/>
    </sheetView>
  </sheetViews>
  <sheetFormatPr baseColWidth="10" defaultRowHeight="15" x14ac:dyDescent="0.25"/>
  <cols>
    <col min="1" max="1" width="51.7109375" bestFit="1" customWidth="1"/>
    <col min="2" max="2" width="14.85546875" style="11" customWidth="1"/>
    <col min="3" max="3" width="20.85546875" customWidth="1"/>
    <col min="5" max="5" width="20.7109375" bestFit="1" customWidth="1"/>
    <col min="6" max="6" width="15.42578125" customWidth="1"/>
  </cols>
  <sheetData>
    <row r="3" spans="1:11" x14ac:dyDescent="0.25">
      <c r="A3" s="18" t="s">
        <v>2</v>
      </c>
      <c r="B3" s="18"/>
    </row>
    <row r="4" spans="1:11" x14ac:dyDescent="0.25">
      <c r="A4" s="1" t="s">
        <v>0</v>
      </c>
      <c r="B4" s="12" t="s">
        <v>1</v>
      </c>
    </row>
    <row r="5" spans="1:11" x14ac:dyDescent="0.25">
      <c r="A5" s="2" t="s">
        <v>19</v>
      </c>
      <c r="B5" s="3">
        <v>0.56000000000000005</v>
      </c>
    </row>
    <row r="6" spans="1:11" x14ac:dyDescent="0.25">
      <c r="A6" s="2" t="s">
        <v>20</v>
      </c>
      <c r="B6" s="3">
        <v>450</v>
      </c>
    </row>
    <row r="7" spans="1:11" x14ac:dyDescent="0.25">
      <c r="A7" s="2" t="s">
        <v>21</v>
      </c>
      <c r="B7" s="3">
        <v>55</v>
      </c>
    </row>
    <row r="8" spans="1:11" x14ac:dyDescent="0.25">
      <c r="A8" s="2" t="s">
        <v>22</v>
      </c>
      <c r="B8" s="3">
        <v>50</v>
      </c>
    </row>
    <row r="9" spans="1:11" x14ac:dyDescent="0.25">
      <c r="A9" s="2" t="s">
        <v>23</v>
      </c>
      <c r="B9" s="3">
        <v>10</v>
      </c>
    </row>
    <row r="10" spans="1:11" x14ac:dyDescent="0.25">
      <c r="A10" s="2" t="s">
        <v>24</v>
      </c>
      <c r="B10" s="3">
        <v>15</v>
      </c>
    </row>
    <row r="11" spans="1:11" x14ac:dyDescent="0.25">
      <c r="A11" s="2" t="s">
        <v>25</v>
      </c>
      <c r="B11" s="3">
        <v>10</v>
      </c>
    </row>
    <row r="12" spans="1:11" x14ac:dyDescent="0.25">
      <c r="A12" s="4" t="s">
        <v>17</v>
      </c>
      <c r="B12" s="5">
        <f>SUM(B5:B11)</f>
        <v>590.55999999999995</v>
      </c>
    </row>
    <row r="15" spans="1:11" x14ac:dyDescent="0.25">
      <c r="J15">
        <v>10</v>
      </c>
      <c r="K15">
        <v>8.4499999999999993</v>
      </c>
    </row>
    <row r="16" spans="1:11" x14ac:dyDescent="0.25">
      <c r="A16" s="18" t="s">
        <v>6</v>
      </c>
      <c r="B16" s="18"/>
      <c r="E16" s="6" t="s">
        <v>11</v>
      </c>
      <c r="F16" s="7">
        <f>B12/(B25-B22)</f>
        <v>173.69411764705882</v>
      </c>
      <c r="J16">
        <v>1</v>
      </c>
      <c r="K16">
        <f>J16*K15/J15</f>
        <v>0.84499999999999997</v>
      </c>
    </row>
    <row r="17" spans="1:6" x14ac:dyDescent="0.25">
      <c r="A17" s="1" t="s">
        <v>0</v>
      </c>
      <c r="B17" s="12" t="s">
        <v>1</v>
      </c>
    </row>
    <row r="18" spans="1:6" x14ac:dyDescent="0.25">
      <c r="A18" s="2" t="s">
        <v>7</v>
      </c>
      <c r="B18" s="3">
        <v>1.25</v>
      </c>
    </row>
    <row r="19" spans="1:6" x14ac:dyDescent="0.25">
      <c r="A19" s="2" t="s">
        <v>27</v>
      </c>
      <c r="B19" s="3">
        <v>0.25</v>
      </c>
      <c r="E19" s="6" t="s">
        <v>12</v>
      </c>
      <c r="F19" s="7">
        <f>F16*B25</f>
        <v>1042.1647058823528</v>
      </c>
    </row>
    <row r="20" spans="1:6" x14ac:dyDescent="0.25">
      <c r="A20" s="2" t="s">
        <v>9</v>
      </c>
      <c r="B20" s="3">
        <v>0.85</v>
      </c>
    </row>
    <row r="21" spans="1:6" x14ac:dyDescent="0.25">
      <c r="A21" s="2" t="s">
        <v>26</v>
      </c>
      <c r="B21" s="3">
        <v>0.25</v>
      </c>
    </row>
    <row r="22" spans="1:6" x14ac:dyDescent="0.25">
      <c r="A22" s="4" t="s">
        <v>18</v>
      </c>
      <c r="B22" s="5">
        <f>SUM(B18:B21)</f>
        <v>2.6</v>
      </c>
    </row>
    <row r="25" spans="1:6" x14ac:dyDescent="0.25">
      <c r="A25" s="4" t="s">
        <v>13</v>
      </c>
      <c r="B25" s="5">
        <v>6</v>
      </c>
    </row>
    <row r="29" spans="1:6" x14ac:dyDescent="0.25">
      <c r="A29" s="10" t="s">
        <v>14</v>
      </c>
      <c r="B29" s="14" t="s">
        <v>15</v>
      </c>
      <c r="C29" s="10" t="s">
        <v>16</v>
      </c>
    </row>
    <row r="30" spans="1:6" x14ac:dyDescent="0.25">
      <c r="A30" s="8">
        <v>0</v>
      </c>
      <c r="B30" s="13">
        <f t="shared" ref="B30:B93" si="0">$B$12+$B$22*A30</f>
        <v>590.55999999999995</v>
      </c>
      <c r="C30" s="9">
        <f>$B$25*A30</f>
        <v>0</v>
      </c>
    </row>
    <row r="31" spans="1:6" x14ac:dyDescent="0.25">
      <c r="A31" s="8">
        <v>1</v>
      </c>
      <c r="B31" s="13">
        <f t="shared" si="0"/>
        <v>593.16</v>
      </c>
      <c r="C31" s="9">
        <f>$B$25*A31</f>
        <v>6</v>
      </c>
    </row>
    <row r="32" spans="1:6" x14ac:dyDescent="0.25">
      <c r="A32" s="8">
        <v>2</v>
      </c>
      <c r="B32" s="13">
        <f t="shared" si="0"/>
        <v>595.76</v>
      </c>
      <c r="C32" s="9">
        <f t="shared" ref="C32:C94" si="1">$B$25*A32</f>
        <v>12</v>
      </c>
    </row>
    <row r="33" spans="1:3" x14ac:dyDescent="0.25">
      <c r="A33" s="8">
        <v>3</v>
      </c>
      <c r="B33" s="13">
        <f t="shared" si="0"/>
        <v>598.3599999999999</v>
      </c>
      <c r="C33" s="9">
        <f t="shared" si="1"/>
        <v>18</v>
      </c>
    </row>
    <row r="34" spans="1:3" x14ac:dyDescent="0.25">
      <c r="A34" s="8">
        <v>4</v>
      </c>
      <c r="B34" s="13">
        <f t="shared" si="0"/>
        <v>600.95999999999992</v>
      </c>
      <c r="C34" s="9">
        <f t="shared" si="1"/>
        <v>24</v>
      </c>
    </row>
    <row r="35" spans="1:3" x14ac:dyDescent="0.25">
      <c r="A35" s="8">
        <v>5</v>
      </c>
      <c r="B35" s="13">
        <f t="shared" si="0"/>
        <v>603.55999999999995</v>
      </c>
      <c r="C35" s="9">
        <f t="shared" si="1"/>
        <v>30</v>
      </c>
    </row>
    <row r="36" spans="1:3" x14ac:dyDescent="0.25">
      <c r="A36" s="8">
        <v>6</v>
      </c>
      <c r="B36" s="13">
        <f t="shared" si="0"/>
        <v>606.16</v>
      </c>
      <c r="C36" s="9">
        <f t="shared" si="1"/>
        <v>36</v>
      </c>
    </row>
    <row r="37" spans="1:3" x14ac:dyDescent="0.25">
      <c r="A37" s="8">
        <v>7</v>
      </c>
      <c r="B37" s="13">
        <f t="shared" si="0"/>
        <v>608.76</v>
      </c>
      <c r="C37" s="9">
        <f t="shared" si="1"/>
        <v>42</v>
      </c>
    </row>
    <row r="38" spans="1:3" x14ac:dyDescent="0.25">
      <c r="A38" s="8">
        <v>8</v>
      </c>
      <c r="B38" s="13">
        <f t="shared" si="0"/>
        <v>611.3599999999999</v>
      </c>
      <c r="C38" s="9">
        <f t="shared" si="1"/>
        <v>48</v>
      </c>
    </row>
    <row r="39" spans="1:3" x14ac:dyDescent="0.25">
      <c r="A39" s="8">
        <v>9</v>
      </c>
      <c r="B39" s="13">
        <f t="shared" si="0"/>
        <v>613.95999999999992</v>
      </c>
      <c r="C39" s="9">
        <f t="shared" si="1"/>
        <v>54</v>
      </c>
    </row>
    <row r="40" spans="1:3" x14ac:dyDescent="0.25">
      <c r="A40" s="8">
        <v>10</v>
      </c>
      <c r="B40" s="13">
        <f t="shared" si="0"/>
        <v>616.55999999999995</v>
      </c>
      <c r="C40" s="9">
        <f t="shared" si="1"/>
        <v>60</v>
      </c>
    </row>
    <row r="41" spans="1:3" x14ac:dyDescent="0.25">
      <c r="A41" s="8">
        <v>11</v>
      </c>
      <c r="B41" s="13">
        <f t="shared" si="0"/>
        <v>619.16</v>
      </c>
      <c r="C41" s="9">
        <f t="shared" si="1"/>
        <v>66</v>
      </c>
    </row>
    <row r="42" spans="1:3" x14ac:dyDescent="0.25">
      <c r="A42" s="8">
        <v>12</v>
      </c>
      <c r="B42" s="13">
        <f t="shared" si="0"/>
        <v>621.76</v>
      </c>
      <c r="C42" s="9">
        <f t="shared" si="1"/>
        <v>72</v>
      </c>
    </row>
    <row r="43" spans="1:3" x14ac:dyDescent="0.25">
      <c r="A43" s="8">
        <v>13</v>
      </c>
      <c r="B43" s="13">
        <f t="shared" si="0"/>
        <v>624.3599999999999</v>
      </c>
      <c r="C43" s="9">
        <f t="shared" si="1"/>
        <v>78</v>
      </c>
    </row>
    <row r="44" spans="1:3" x14ac:dyDescent="0.25">
      <c r="A44" s="8">
        <v>14</v>
      </c>
      <c r="B44" s="13">
        <f t="shared" si="0"/>
        <v>626.95999999999992</v>
      </c>
      <c r="C44" s="9">
        <f t="shared" si="1"/>
        <v>84</v>
      </c>
    </row>
    <row r="45" spans="1:3" x14ac:dyDescent="0.25">
      <c r="A45" s="8">
        <v>15</v>
      </c>
      <c r="B45" s="13">
        <f t="shared" si="0"/>
        <v>629.55999999999995</v>
      </c>
      <c r="C45" s="9">
        <f t="shared" si="1"/>
        <v>90</v>
      </c>
    </row>
    <row r="46" spans="1:3" x14ac:dyDescent="0.25">
      <c r="A46" s="8">
        <v>16</v>
      </c>
      <c r="B46" s="13">
        <f t="shared" si="0"/>
        <v>632.16</v>
      </c>
      <c r="C46" s="9">
        <f t="shared" si="1"/>
        <v>96</v>
      </c>
    </row>
    <row r="47" spans="1:3" x14ac:dyDescent="0.25">
      <c r="A47" s="8">
        <v>17</v>
      </c>
      <c r="B47" s="13">
        <f t="shared" si="0"/>
        <v>634.76</v>
      </c>
      <c r="C47" s="9">
        <f t="shared" si="1"/>
        <v>102</v>
      </c>
    </row>
    <row r="48" spans="1:3" x14ac:dyDescent="0.25">
      <c r="A48" s="8">
        <v>18</v>
      </c>
      <c r="B48" s="13">
        <f t="shared" si="0"/>
        <v>637.3599999999999</v>
      </c>
      <c r="C48" s="9">
        <f t="shared" si="1"/>
        <v>108</v>
      </c>
    </row>
    <row r="49" spans="1:3" x14ac:dyDescent="0.25">
      <c r="A49" s="8">
        <v>19</v>
      </c>
      <c r="B49" s="13">
        <f t="shared" si="0"/>
        <v>639.95999999999992</v>
      </c>
      <c r="C49" s="9">
        <f t="shared" si="1"/>
        <v>114</v>
      </c>
    </row>
    <row r="50" spans="1:3" x14ac:dyDescent="0.25">
      <c r="A50" s="8">
        <v>20</v>
      </c>
      <c r="B50" s="13">
        <f t="shared" si="0"/>
        <v>642.55999999999995</v>
      </c>
      <c r="C50" s="9">
        <f t="shared" si="1"/>
        <v>120</v>
      </c>
    </row>
    <row r="51" spans="1:3" x14ac:dyDescent="0.25">
      <c r="A51" s="8">
        <v>21</v>
      </c>
      <c r="B51" s="13">
        <f t="shared" si="0"/>
        <v>645.16</v>
      </c>
      <c r="C51" s="9">
        <f t="shared" si="1"/>
        <v>126</v>
      </c>
    </row>
    <row r="52" spans="1:3" x14ac:dyDescent="0.25">
      <c r="A52" s="8">
        <v>22</v>
      </c>
      <c r="B52" s="13">
        <f t="shared" si="0"/>
        <v>647.76</v>
      </c>
      <c r="C52" s="9">
        <f t="shared" si="1"/>
        <v>132</v>
      </c>
    </row>
    <row r="53" spans="1:3" x14ac:dyDescent="0.25">
      <c r="A53" s="8">
        <v>23</v>
      </c>
      <c r="B53" s="13">
        <f t="shared" si="0"/>
        <v>650.3599999999999</v>
      </c>
      <c r="C53" s="9">
        <f t="shared" si="1"/>
        <v>138</v>
      </c>
    </row>
    <row r="54" spans="1:3" x14ac:dyDescent="0.25">
      <c r="A54" s="8">
        <v>24</v>
      </c>
      <c r="B54" s="13">
        <f t="shared" si="0"/>
        <v>652.95999999999992</v>
      </c>
      <c r="C54" s="9">
        <f t="shared" si="1"/>
        <v>144</v>
      </c>
    </row>
    <row r="55" spans="1:3" x14ac:dyDescent="0.25">
      <c r="A55" s="8">
        <v>25</v>
      </c>
      <c r="B55" s="13">
        <f t="shared" si="0"/>
        <v>655.56</v>
      </c>
      <c r="C55" s="9">
        <f t="shared" si="1"/>
        <v>150</v>
      </c>
    </row>
    <row r="56" spans="1:3" x14ac:dyDescent="0.25">
      <c r="A56" s="8">
        <v>26</v>
      </c>
      <c r="B56" s="13">
        <f t="shared" si="0"/>
        <v>658.16</v>
      </c>
      <c r="C56" s="9">
        <f t="shared" si="1"/>
        <v>156</v>
      </c>
    </row>
    <row r="57" spans="1:3" x14ac:dyDescent="0.25">
      <c r="A57" s="8">
        <v>27</v>
      </c>
      <c r="B57" s="13">
        <f t="shared" si="0"/>
        <v>660.76</v>
      </c>
      <c r="C57" s="9">
        <f t="shared" si="1"/>
        <v>162</v>
      </c>
    </row>
    <row r="58" spans="1:3" x14ac:dyDescent="0.25">
      <c r="A58" s="8">
        <v>28</v>
      </c>
      <c r="B58" s="13">
        <f t="shared" si="0"/>
        <v>663.3599999999999</v>
      </c>
      <c r="C58" s="9">
        <f t="shared" si="1"/>
        <v>168</v>
      </c>
    </row>
    <row r="59" spans="1:3" x14ac:dyDescent="0.25">
      <c r="A59" s="8">
        <v>29</v>
      </c>
      <c r="B59" s="13">
        <f t="shared" si="0"/>
        <v>665.95999999999992</v>
      </c>
      <c r="C59" s="9">
        <f t="shared" si="1"/>
        <v>174</v>
      </c>
    </row>
    <row r="60" spans="1:3" x14ac:dyDescent="0.25">
      <c r="A60" s="8">
        <v>30</v>
      </c>
      <c r="B60" s="13">
        <f t="shared" si="0"/>
        <v>668.56</v>
      </c>
      <c r="C60" s="9">
        <f t="shared" si="1"/>
        <v>180</v>
      </c>
    </row>
    <row r="61" spans="1:3" x14ac:dyDescent="0.25">
      <c r="A61" s="8">
        <v>31</v>
      </c>
      <c r="B61" s="13">
        <f t="shared" si="0"/>
        <v>671.16</v>
      </c>
      <c r="C61" s="9">
        <f t="shared" si="1"/>
        <v>186</v>
      </c>
    </row>
    <row r="62" spans="1:3" x14ac:dyDescent="0.25">
      <c r="A62" s="8">
        <v>32</v>
      </c>
      <c r="B62" s="13">
        <f t="shared" si="0"/>
        <v>673.76</v>
      </c>
      <c r="C62" s="9">
        <f t="shared" si="1"/>
        <v>192</v>
      </c>
    </row>
    <row r="63" spans="1:3" x14ac:dyDescent="0.25">
      <c r="A63" s="8">
        <v>33</v>
      </c>
      <c r="B63" s="13">
        <f t="shared" si="0"/>
        <v>676.3599999999999</v>
      </c>
      <c r="C63" s="9">
        <f t="shared" si="1"/>
        <v>198</v>
      </c>
    </row>
    <row r="64" spans="1:3" x14ac:dyDescent="0.25">
      <c r="A64" s="8">
        <v>34</v>
      </c>
      <c r="B64" s="13">
        <f t="shared" si="0"/>
        <v>678.95999999999992</v>
      </c>
      <c r="C64" s="9">
        <f t="shared" si="1"/>
        <v>204</v>
      </c>
    </row>
    <row r="65" spans="1:3" x14ac:dyDescent="0.25">
      <c r="A65" s="8">
        <v>35</v>
      </c>
      <c r="B65" s="13">
        <f t="shared" si="0"/>
        <v>681.56</v>
      </c>
      <c r="C65" s="9">
        <f t="shared" si="1"/>
        <v>210</v>
      </c>
    </row>
    <row r="66" spans="1:3" x14ac:dyDescent="0.25">
      <c r="A66" s="8">
        <v>36</v>
      </c>
      <c r="B66" s="13">
        <f t="shared" si="0"/>
        <v>684.16</v>
      </c>
      <c r="C66" s="9">
        <f t="shared" si="1"/>
        <v>216</v>
      </c>
    </row>
    <row r="67" spans="1:3" x14ac:dyDescent="0.25">
      <c r="A67" s="8">
        <v>37</v>
      </c>
      <c r="B67" s="13">
        <f t="shared" si="0"/>
        <v>686.76</v>
      </c>
      <c r="C67" s="9">
        <f t="shared" si="1"/>
        <v>222</v>
      </c>
    </row>
    <row r="68" spans="1:3" x14ac:dyDescent="0.25">
      <c r="A68" s="8">
        <v>38</v>
      </c>
      <c r="B68" s="13">
        <f t="shared" si="0"/>
        <v>689.3599999999999</v>
      </c>
      <c r="C68" s="9">
        <f t="shared" si="1"/>
        <v>228</v>
      </c>
    </row>
    <row r="69" spans="1:3" x14ac:dyDescent="0.25">
      <c r="A69" s="8">
        <v>39</v>
      </c>
      <c r="B69" s="13">
        <f t="shared" si="0"/>
        <v>691.95999999999992</v>
      </c>
      <c r="C69" s="9">
        <f t="shared" si="1"/>
        <v>234</v>
      </c>
    </row>
    <row r="70" spans="1:3" x14ac:dyDescent="0.25">
      <c r="A70" s="8">
        <v>40</v>
      </c>
      <c r="B70" s="13">
        <f t="shared" si="0"/>
        <v>694.56</v>
      </c>
      <c r="C70" s="9">
        <f t="shared" si="1"/>
        <v>240</v>
      </c>
    </row>
    <row r="71" spans="1:3" x14ac:dyDescent="0.25">
      <c r="A71" s="8">
        <v>41</v>
      </c>
      <c r="B71" s="13">
        <f t="shared" si="0"/>
        <v>697.16</v>
      </c>
      <c r="C71" s="9">
        <f t="shared" si="1"/>
        <v>246</v>
      </c>
    </row>
    <row r="72" spans="1:3" x14ac:dyDescent="0.25">
      <c r="A72" s="8">
        <v>42</v>
      </c>
      <c r="B72" s="13">
        <f t="shared" si="0"/>
        <v>699.76</v>
      </c>
      <c r="C72" s="9">
        <f t="shared" si="1"/>
        <v>252</v>
      </c>
    </row>
    <row r="73" spans="1:3" x14ac:dyDescent="0.25">
      <c r="A73" s="8">
        <v>43</v>
      </c>
      <c r="B73" s="13">
        <f t="shared" si="0"/>
        <v>702.3599999999999</v>
      </c>
      <c r="C73" s="9">
        <f t="shared" si="1"/>
        <v>258</v>
      </c>
    </row>
    <row r="74" spans="1:3" x14ac:dyDescent="0.25">
      <c r="A74" s="8">
        <v>44</v>
      </c>
      <c r="B74" s="13">
        <f t="shared" si="0"/>
        <v>704.95999999999992</v>
      </c>
      <c r="C74" s="9">
        <f t="shared" si="1"/>
        <v>264</v>
      </c>
    </row>
    <row r="75" spans="1:3" x14ac:dyDescent="0.25">
      <c r="A75" s="8">
        <v>45</v>
      </c>
      <c r="B75" s="13">
        <f t="shared" si="0"/>
        <v>707.56</v>
      </c>
      <c r="C75" s="9">
        <f t="shared" si="1"/>
        <v>270</v>
      </c>
    </row>
    <row r="76" spans="1:3" x14ac:dyDescent="0.25">
      <c r="A76" s="8">
        <v>46</v>
      </c>
      <c r="B76" s="13">
        <f t="shared" si="0"/>
        <v>710.16</v>
      </c>
      <c r="C76" s="9">
        <f t="shared" si="1"/>
        <v>276</v>
      </c>
    </row>
    <row r="77" spans="1:3" x14ac:dyDescent="0.25">
      <c r="A77" s="8">
        <v>47</v>
      </c>
      <c r="B77" s="13">
        <f t="shared" si="0"/>
        <v>712.76</v>
      </c>
      <c r="C77" s="9">
        <f t="shared" si="1"/>
        <v>282</v>
      </c>
    </row>
    <row r="78" spans="1:3" x14ac:dyDescent="0.25">
      <c r="A78" s="8">
        <v>48</v>
      </c>
      <c r="B78" s="13">
        <f t="shared" si="0"/>
        <v>715.3599999999999</v>
      </c>
      <c r="C78" s="9">
        <f t="shared" si="1"/>
        <v>288</v>
      </c>
    </row>
    <row r="79" spans="1:3" x14ac:dyDescent="0.25">
      <c r="A79" s="8">
        <v>49</v>
      </c>
      <c r="B79" s="13">
        <f t="shared" si="0"/>
        <v>717.95999999999992</v>
      </c>
      <c r="C79" s="9">
        <f t="shared" si="1"/>
        <v>294</v>
      </c>
    </row>
    <row r="80" spans="1:3" x14ac:dyDescent="0.25">
      <c r="A80" s="8">
        <v>50</v>
      </c>
      <c r="B80" s="13">
        <f t="shared" si="0"/>
        <v>720.56</v>
      </c>
      <c r="C80" s="9">
        <f t="shared" si="1"/>
        <v>300</v>
      </c>
    </row>
    <row r="81" spans="1:3" x14ac:dyDescent="0.25">
      <c r="A81" s="8">
        <v>51</v>
      </c>
      <c r="B81" s="13">
        <f t="shared" si="0"/>
        <v>723.16</v>
      </c>
      <c r="C81" s="9">
        <f t="shared" si="1"/>
        <v>306</v>
      </c>
    </row>
    <row r="82" spans="1:3" x14ac:dyDescent="0.25">
      <c r="A82" s="8">
        <v>52</v>
      </c>
      <c r="B82" s="13">
        <f t="shared" si="0"/>
        <v>725.76</v>
      </c>
      <c r="C82" s="9">
        <f t="shared" si="1"/>
        <v>312</v>
      </c>
    </row>
    <row r="83" spans="1:3" x14ac:dyDescent="0.25">
      <c r="A83" s="8">
        <v>53</v>
      </c>
      <c r="B83" s="13">
        <f t="shared" si="0"/>
        <v>728.3599999999999</v>
      </c>
      <c r="C83" s="9">
        <f t="shared" si="1"/>
        <v>318</v>
      </c>
    </row>
    <row r="84" spans="1:3" x14ac:dyDescent="0.25">
      <c r="A84" s="8">
        <v>54</v>
      </c>
      <c r="B84" s="13">
        <f t="shared" si="0"/>
        <v>730.95999999999992</v>
      </c>
      <c r="C84" s="9">
        <f t="shared" si="1"/>
        <v>324</v>
      </c>
    </row>
    <row r="85" spans="1:3" x14ac:dyDescent="0.25">
      <c r="A85" s="8">
        <v>55</v>
      </c>
      <c r="B85" s="13">
        <f t="shared" si="0"/>
        <v>733.56</v>
      </c>
      <c r="C85" s="9">
        <f t="shared" si="1"/>
        <v>330</v>
      </c>
    </row>
    <row r="86" spans="1:3" x14ac:dyDescent="0.25">
      <c r="A86" s="8">
        <v>56</v>
      </c>
      <c r="B86" s="13">
        <f t="shared" si="0"/>
        <v>736.16</v>
      </c>
      <c r="C86" s="9">
        <f t="shared" si="1"/>
        <v>336</v>
      </c>
    </row>
    <row r="87" spans="1:3" x14ac:dyDescent="0.25">
      <c r="A87" s="8">
        <v>57</v>
      </c>
      <c r="B87" s="13">
        <f t="shared" si="0"/>
        <v>738.76</v>
      </c>
      <c r="C87" s="9">
        <f t="shared" si="1"/>
        <v>342</v>
      </c>
    </row>
    <row r="88" spans="1:3" x14ac:dyDescent="0.25">
      <c r="A88" s="8">
        <v>58</v>
      </c>
      <c r="B88" s="13">
        <f t="shared" si="0"/>
        <v>741.3599999999999</v>
      </c>
      <c r="C88" s="9">
        <f t="shared" si="1"/>
        <v>348</v>
      </c>
    </row>
    <row r="89" spans="1:3" x14ac:dyDescent="0.25">
      <c r="A89" s="8">
        <v>59</v>
      </c>
      <c r="B89" s="13">
        <f t="shared" si="0"/>
        <v>743.95999999999992</v>
      </c>
      <c r="C89" s="9">
        <f t="shared" si="1"/>
        <v>354</v>
      </c>
    </row>
    <row r="90" spans="1:3" x14ac:dyDescent="0.25">
      <c r="A90" s="8">
        <v>60</v>
      </c>
      <c r="B90" s="13">
        <f t="shared" si="0"/>
        <v>746.56</v>
      </c>
      <c r="C90" s="9">
        <f t="shared" si="1"/>
        <v>360</v>
      </c>
    </row>
    <row r="91" spans="1:3" x14ac:dyDescent="0.25">
      <c r="A91" s="8">
        <v>61</v>
      </c>
      <c r="B91" s="13">
        <f t="shared" si="0"/>
        <v>749.16</v>
      </c>
      <c r="C91" s="9">
        <f t="shared" si="1"/>
        <v>366</v>
      </c>
    </row>
    <row r="92" spans="1:3" x14ac:dyDescent="0.25">
      <c r="A92" s="8">
        <v>62</v>
      </c>
      <c r="B92" s="13">
        <f t="shared" si="0"/>
        <v>751.76</v>
      </c>
      <c r="C92" s="9">
        <f t="shared" si="1"/>
        <v>372</v>
      </c>
    </row>
    <row r="93" spans="1:3" x14ac:dyDescent="0.25">
      <c r="A93" s="8">
        <v>63</v>
      </c>
      <c r="B93" s="13">
        <f t="shared" si="0"/>
        <v>754.3599999999999</v>
      </c>
      <c r="C93" s="9">
        <f t="shared" si="1"/>
        <v>378</v>
      </c>
    </row>
    <row r="94" spans="1:3" x14ac:dyDescent="0.25">
      <c r="A94" s="8">
        <v>64</v>
      </c>
      <c r="B94" s="13">
        <f t="shared" ref="B94:B157" si="2">$B$12+$B$22*A94</f>
        <v>756.95999999999992</v>
      </c>
      <c r="C94" s="9">
        <f t="shared" si="1"/>
        <v>384</v>
      </c>
    </row>
    <row r="95" spans="1:3" x14ac:dyDescent="0.25">
      <c r="A95" s="8">
        <v>65</v>
      </c>
      <c r="B95" s="13">
        <f t="shared" si="2"/>
        <v>759.56</v>
      </c>
      <c r="C95" s="9">
        <f t="shared" ref="C95:C158" si="3">$B$25*A95</f>
        <v>390</v>
      </c>
    </row>
    <row r="96" spans="1:3" x14ac:dyDescent="0.25">
      <c r="A96" s="8">
        <v>66</v>
      </c>
      <c r="B96" s="13">
        <f t="shared" si="2"/>
        <v>762.16</v>
      </c>
      <c r="C96" s="9">
        <f t="shared" si="3"/>
        <v>396</v>
      </c>
    </row>
    <row r="97" spans="1:3" x14ac:dyDescent="0.25">
      <c r="A97" s="8">
        <v>67</v>
      </c>
      <c r="B97" s="13">
        <f t="shared" si="2"/>
        <v>764.76</v>
      </c>
      <c r="C97" s="9">
        <f t="shared" si="3"/>
        <v>402</v>
      </c>
    </row>
    <row r="98" spans="1:3" x14ac:dyDescent="0.25">
      <c r="A98" s="8">
        <v>68</v>
      </c>
      <c r="B98" s="13">
        <f t="shared" si="2"/>
        <v>767.3599999999999</v>
      </c>
      <c r="C98" s="9">
        <f t="shared" si="3"/>
        <v>408</v>
      </c>
    </row>
    <row r="99" spans="1:3" x14ac:dyDescent="0.25">
      <c r="A99" s="8">
        <v>69</v>
      </c>
      <c r="B99" s="13">
        <f t="shared" si="2"/>
        <v>769.95999999999992</v>
      </c>
      <c r="C99" s="9">
        <f t="shared" si="3"/>
        <v>414</v>
      </c>
    </row>
    <row r="100" spans="1:3" x14ac:dyDescent="0.25">
      <c r="A100" s="8">
        <v>70</v>
      </c>
      <c r="B100" s="13">
        <f t="shared" si="2"/>
        <v>772.56</v>
      </c>
      <c r="C100" s="9">
        <f t="shared" si="3"/>
        <v>420</v>
      </c>
    </row>
    <row r="101" spans="1:3" x14ac:dyDescent="0.25">
      <c r="A101" s="8">
        <v>71</v>
      </c>
      <c r="B101" s="13">
        <f t="shared" si="2"/>
        <v>775.16</v>
      </c>
      <c r="C101" s="9">
        <f t="shared" si="3"/>
        <v>426</v>
      </c>
    </row>
    <row r="102" spans="1:3" x14ac:dyDescent="0.25">
      <c r="A102" s="8">
        <v>72</v>
      </c>
      <c r="B102" s="13">
        <f t="shared" si="2"/>
        <v>777.76</v>
      </c>
      <c r="C102" s="9">
        <f t="shared" si="3"/>
        <v>432</v>
      </c>
    </row>
    <row r="103" spans="1:3" x14ac:dyDescent="0.25">
      <c r="A103" s="8">
        <v>73</v>
      </c>
      <c r="B103" s="13">
        <f t="shared" si="2"/>
        <v>780.3599999999999</v>
      </c>
      <c r="C103" s="9">
        <f t="shared" si="3"/>
        <v>438</v>
      </c>
    </row>
    <row r="104" spans="1:3" x14ac:dyDescent="0.25">
      <c r="A104" s="8">
        <v>74</v>
      </c>
      <c r="B104" s="13">
        <f t="shared" si="2"/>
        <v>782.95999999999992</v>
      </c>
      <c r="C104" s="9">
        <f t="shared" si="3"/>
        <v>444</v>
      </c>
    </row>
    <row r="105" spans="1:3" x14ac:dyDescent="0.25">
      <c r="A105" s="8">
        <v>75</v>
      </c>
      <c r="B105" s="13">
        <f t="shared" si="2"/>
        <v>785.56</v>
      </c>
      <c r="C105" s="9">
        <f t="shared" si="3"/>
        <v>450</v>
      </c>
    </row>
    <row r="106" spans="1:3" x14ac:dyDescent="0.25">
      <c r="A106" s="8">
        <v>76</v>
      </c>
      <c r="B106" s="13">
        <f t="shared" si="2"/>
        <v>788.16</v>
      </c>
      <c r="C106" s="9">
        <f t="shared" si="3"/>
        <v>456</v>
      </c>
    </row>
    <row r="107" spans="1:3" x14ac:dyDescent="0.25">
      <c r="A107" s="8">
        <v>77</v>
      </c>
      <c r="B107" s="13">
        <f t="shared" si="2"/>
        <v>790.76</v>
      </c>
      <c r="C107" s="9">
        <f t="shared" si="3"/>
        <v>462</v>
      </c>
    </row>
    <row r="108" spans="1:3" x14ac:dyDescent="0.25">
      <c r="A108" s="8">
        <v>78</v>
      </c>
      <c r="B108" s="13">
        <f t="shared" si="2"/>
        <v>793.3599999999999</v>
      </c>
      <c r="C108" s="9">
        <f t="shared" si="3"/>
        <v>468</v>
      </c>
    </row>
    <row r="109" spans="1:3" x14ac:dyDescent="0.25">
      <c r="A109" s="8">
        <v>79</v>
      </c>
      <c r="B109" s="13">
        <f t="shared" si="2"/>
        <v>795.95999999999992</v>
      </c>
      <c r="C109" s="9">
        <f t="shared" si="3"/>
        <v>474</v>
      </c>
    </row>
    <row r="110" spans="1:3" x14ac:dyDescent="0.25">
      <c r="A110" s="8">
        <v>80</v>
      </c>
      <c r="B110" s="13">
        <f t="shared" si="2"/>
        <v>798.56</v>
      </c>
      <c r="C110" s="9">
        <f t="shared" si="3"/>
        <v>480</v>
      </c>
    </row>
    <row r="111" spans="1:3" x14ac:dyDescent="0.25">
      <c r="A111" s="8">
        <v>81</v>
      </c>
      <c r="B111" s="13">
        <f t="shared" si="2"/>
        <v>801.16</v>
      </c>
      <c r="C111" s="9">
        <f t="shared" si="3"/>
        <v>486</v>
      </c>
    </row>
    <row r="112" spans="1:3" x14ac:dyDescent="0.25">
      <c r="A112" s="8">
        <v>82</v>
      </c>
      <c r="B112" s="13">
        <f t="shared" si="2"/>
        <v>803.76</v>
      </c>
      <c r="C112" s="9">
        <f t="shared" si="3"/>
        <v>492</v>
      </c>
    </row>
    <row r="113" spans="1:3" x14ac:dyDescent="0.25">
      <c r="A113" s="8">
        <v>83</v>
      </c>
      <c r="B113" s="13">
        <f t="shared" si="2"/>
        <v>806.3599999999999</v>
      </c>
      <c r="C113" s="9">
        <f t="shared" si="3"/>
        <v>498</v>
      </c>
    </row>
    <row r="114" spans="1:3" x14ac:dyDescent="0.25">
      <c r="A114" s="8">
        <v>84</v>
      </c>
      <c r="B114" s="13">
        <f t="shared" si="2"/>
        <v>808.95999999999992</v>
      </c>
      <c r="C114" s="9">
        <f t="shared" si="3"/>
        <v>504</v>
      </c>
    </row>
    <row r="115" spans="1:3" x14ac:dyDescent="0.25">
      <c r="A115" s="8">
        <v>85</v>
      </c>
      <c r="B115" s="13">
        <f t="shared" si="2"/>
        <v>811.56</v>
      </c>
      <c r="C115" s="9">
        <f t="shared" si="3"/>
        <v>510</v>
      </c>
    </row>
    <row r="116" spans="1:3" x14ac:dyDescent="0.25">
      <c r="A116" s="8">
        <v>86</v>
      </c>
      <c r="B116" s="13">
        <f t="shared" si="2"/>
        <v>814.16</v>
      </c>
      <c r="C116" s="9">
        <f t="shared" si="3"/>
        <v>516</v>
      </c>
    </row>
    <row r="117" spans="1:3" x14ac:dyDescent="0.25">
      <c r="A117" s="8">
        <v>87</v>
      </c>
      <c r="B117" s="13">
        <f t="shared" si="2"/>
        <v>816.76</v>
      </c>
      <c r="C117" s="9">
        <f t="shared" si="3"/>
        <v>522</v>
      </c>
    </row>
    <row r="118" spans="1:3" x14ac:dyDescent="0.25">
      <c r="A118" s="8">
        <v>88</v>
      </c>
      <c r="B118" s="13">
        <f t="shared" si="2"/>
        <v>819.3599999999999</v>
      </c>
      <c r="C118" s="9">
        <f t="shared" si="3"/>
        <v>528</v>
      </c>
    </row>
    <row r="119" spans="1:3" x14ac:dyDescent="0.25">
      <c r="A119" s="8">
        <v>89</v>
      </c>
      <c r="B119" s="13">
        <f t="shared" si="2"/>
        <v>821.95999999999992</v>
      </c>
      <c r="C119" s="9">
        <f t="shared" si="3"/>
        <v>534</v>
      </c>
    </row>
    <row r="120" spans="1:3" x14ac:dyDescent="0.25">
      <c r="A120" s="8">
        <v>90</v>
      </c>
      <c r="B120" s="13">
        <f t="shared" si="2"/>
        <v>824.56</v>
      </c>
      <c r="C120" s="9">
        <f t="shared" si="3"/>
        <v>540</v>
      </c>
    </row>
    <row r="121" spans="1:3" x14ac:dyDescent="0.25">
      <c r="A121" s="8">
        <v>91</v>
      </c>
      <c r="B121" s="13">
        <f t="shared" si="2"/>
        <v>827.16</v>
      </c>
      <c r="C121" s="9">
        <f t="shared" si="3"/>
        <v>546</v>
      </c>
    </row>
    <row r="122" spans="1:3" x14ac:dyDescent="0.25">
      <c r="A122" s="8">
        <v>92</v>
      </c>
      <c r="B122" s="13">
        <f t="shared" si="2"/>
        <v>829.76</v>
      </c>
      <c r="C122" s="9">
        <f t="shared" si="3"/>
        <v>552</v>
      </c>
    </row>
    <row r="123" spans="1:3" x14ac:dyDescent="0.25">
      <c r="A123" s="8">
        <v>93</v>
      </c>
      <c r="B123" s="13">
        <f t="shared" si="2"/>
        <v>832.3599999999999</v>
      </c>
      <c r="C123" s="9">
        <f t="shared" si="3"/>
        <v>558</v>
      </c>
    </row>
    <row r="124" spans="1:3" x14ac:dyDescent="0.25">
      <c r="A124" s="8">
        <v>94</v>
      </c>
      <c r="B124" s="13">
        <f t="shared" si="2"/>
        <v>834.95999999999992</v>
      </c>
      <c r="C124" s="9">
        <f t="shared" si="3"/>
        <v>564</v>
      </c>
    </row>
    <row r="125" spans="1:3" x14ac:dyDescent="0.25">
      <c r="A125" s="8">
        <v>95</v>
      </c>
      <c r="B125" s="13">
        <f t="shared" si="2"/>
        <v>837.56</v>
      </c>
      <c r="C125" s="9">
        <f t="shared" si="3"/>
        <v>570</v>
      </c>
    </row>
    <row r="126" spans="1:3" x14ac:dyDescent="0.25">
      <c r="A126" s="8">
        <v>96</v>
      </c>
      <c r="B126" s="13">
        <f t="shared" si="2"/>
        <v>840.16</v>
      </c>
      <c r="C126" s="9">
        <f t="shared" si="3"/>
        <v>576</v>
      </c>
    </row>
    <row r="127" spans="1:3" x14ac:dyDescent="0.25">
      <c r="A127" s="8">
        <v>97</v>
      </c>
      <c r="B127" s="13">
        <f t="shared" si="2"/>
        <v>842.76</v>
      </c>
      <c r="C127" s="9">
        <f t="shared" si="3"/>
        <v>582</v>
      </c>
    </row>
    <row r="128" spans="1:3" x14ac:dyDescent="0.25">
      <c r="A128" s="8">
        <v>98</v>
      </c>
      <c r="B128" s="13">
        <f t="shared" si="2"/>
        <v>845.3599999999999</v>
      </c>
      <c r="C128" s="9">
        <f t="shared" si="3"/>
        <v>588</v>
      </c>
    </row>
    <row r="129" spans="1:3" x14ac:dyDescent="0.25">
      <c r="A129" s="8">
        <v>99</v>
      </c>
      <c r="B129" s="13">
        <f t="shared" si="2"/>
        <v>847.96</v>
      </c>
      <c r="C129" s="9">
        <f t="shared" si="3"/>
        <v>594</v>
      </c>
    </row>
    <row r="130" spans="1:3" x14ac:dyDescent="0.25">
      <c r="A130" s="8">
        <v>100</v>
      </c>
      <c r="B130" s="13">
        <f t="shared" si="2"/>
        <v>850.56</v>
      </c>
      <c r="C130" s="9">
        <f t="shared" si="3"/>
        <v>600</v>
      </c>
    </row>
    <row r="131" spans="1:3" x14ac:dyDescent="0.25">
      <c r="A131" s="8">
        <v>101</v>
      </c>
      <c r="B131" s="13">
        <f t="shared" si="2"/>
        <v>853.16</v>
      </c>
      <c r="C131" s="9">
        <f t="shared" si="3"/>
        <v>606</v>
      </c>
    </row>
    <row r="132" spans="1:3" x14ac:dyDescent="0.25">
      <c r="A132" s="8">
        <v>102</v>
      </c>
      <c r="B132" s="13">
        <f t="shared" si="2"/>
        <v>855.76</v>
      </c>
      <c r="C132" s="9">
        <f t="shared" si="3"/>
        <v>612</v>
      </c>
    </row>
    <row r="133" spans="1:3" x14ac:dyDescent="0.25">
      <c r="A133" s="8">
        <v>103</v>
      </c>
      <c r="B133" s="13">
        <f t="shared" si="2"/>
        <v>858.3599999999999</v>
      </c>
      <c r="C133" s="9">
        <f t="shared" si="3"/>
        <v>618</v>
      </c>
    </row>
    <row r="134" spans="1:3" x14ac:dyDescent="0.25">
      <c r="A134" s="8">
        <v>104</v>
      </c>
      <c r="B134" s="13">
        <f t="shared" si="2"/>
        <v>860.96</v>
      </c>
      <c r="C134" s="9">
        <f t="shared" si="3"/>
        <v>624</v>
      </c>
    </row>
    <row r="135" spans="1:3" x14ac:dyDescent="0.25">
      <c r="A135" s="8">
        <v>105</v>
      </c>
      <c r="B135" s="13">
        <f t="shared" si="2"/>
        <v>863.56</v>
      </c>
      <c r="C135" s="9">
        <f t="shared" si="3"/>
        <v>630</v>
      </c>
    </row>
    <row r="136" spans="1:3" x14ac:dyDescent="0.25">
      <c r="A136" s="8">
        <v>106</v>
      </c>
      <c r="B136" s="13">
        <f t="shared" si="2"/>
        <v>866.16</v>
      </c>
      <c r="C136" s="9">
        <f t="shared" si="3"/>
        <v>636</v>
      </c>
    </row>
    <row r="137" spans="1:3" x14ac:dyDescent="0.25">
      <c r="A137" s="8">
        <v>107</v>
      </c>
      <c r="B137" s="13">
        <f t="shared" si="2"/>
        <v>868.76</v>
      </c>
      <c r="C137" s="9">
        <f t="shared" si="3"/>
        <v>642</v>
      </c>
    </row>
    <row r="138" spans="1:3" x14ac:dyDescent="0.25">
      <c r="A138" s="8">
        <v>108</v>
      </c>
      <c r="B138" s="13">
        <f t="shared" si="2"/>
        <v>871.3599999999999</v>
      </c>
      <c r="C138" s="9">
        <f t="shared" si="3"/>
        <v>648</v>
      </c>
    </row>
    <row r="139" spans="1:3" x14ac:dyDescent="0.25">
      <c r="A139" s="8">
        <v>109</v>
      </c>
      <c r="B139" s="13">
        <f t="shared" si="2"/>
        <v>873.96</v>
      </c>
      <c r="C139" s="9">
        <f t="shared" si="3"/>
        <v>654</v>
      </c>
    </row>
    <row r="140" spans="1:3" x14ac:dyDescent="0.25">
      <c r="A140" s="8">
        <v>110</v>
      </c>
      <c r="B140" s="13">
        <f t="shared" si="2"/>
        <v>876.56</v>
      </c>
      <c r="C140" s="9">
        <f t="shared" si="3"/>
        <v>660</v>
      </c>
    </row>
    <row r="141" spans="1:3" x14ac:dyDescent="0.25">
      <c r="A141" s="8">
        <v>111</v>
      </c>
      <c r="B141" s="13">
        <f t="shared" si="2"/>
        <v>879.16</v>
      </c>
      <c r="C141" s="9">
        <f t="shared" si="3"/>
        <v>666</v>
      </c>
    </row>
    <row r="142" spans="1:3" x14ac:dyDescent="0.25">
      <c r="A142" s="8">
        <v>112</v>
      </c>
      <c r="B142" s="13">
        <f t="shared" si="2"/>
        <v>881.76</v>
      </c>
      <c r="C142" s="9">
        <f t="shared" si="3"/>
        <v>672</v>
      </c>
    </row>
    <row r="143" spans="1:3" x14ac:dyDescent="0.25">
      <c r="A143" s="8">
        <v>113</v>
      </c>
      <c r="B143" s="13">
        <f t="shared" si="2"/>
        <v>884.3599999999999</v>
      </c>
      <c r="C143" s="9">
        <f t="shared" si="3"/>
        <v>678</v>
      </c>
    </row>
    <row r="144" spans="1:3" x14ac:dyDescent="0.25">
      <c r="A144" s="8">
        <v>114</v>
      </c>
      <c r="B144" s="13">
        <f t="shared" si="2"/>
        <v>886.96</v>
      </c>
      <c r="C144" s="9">
        <f t="shared" si="3"/>
        <v>684</v>
      </c>
    </row>
    <row r="145" spans="1:3" x14ac:dyDescent="0.25">
      <c r="A145" s="8">
        <v>115</v>
      </c>
      <c r="B145" s="13">
        <f t="shared" si="2"/>
        <v>889.56</v>
      </c>
      <c r="C145" s="9">
        <f t="shared" si="3"/>
        <v>690</v>
      </c>
    </row>
    <row r="146" spans="1:3" x14ac:dyDescent="0.25">
      <c r="A146" s="8">
        <v>116</v>
      </c>
      <c r="B146" s="13">
        <f t="shared" si="2"/>
        <v>892.16</v>
      </c>
      <c r="C146" s="9">
        <f t="shared" si="3"/>
        <v>696</v>
      </c>
    </row>
    <row r="147" spans="1:3" x14ac:dyDescent="0.25">
      <c r="A147" s="8">
        <v>117</v>
      </c>
      <c r="B147" s="13">
        <f t="shared" si="2"/>
        <v>894.76</v>
      </c>
      <c r="C147" s="9">
        <f t="shared" si="3"/>
        <v>702</v>
      </c>
    </row>
    <row r="148" spans="1:3" x14ac:dyDescent="0.25">
      <c r="A148" s="8">
        <v>118</v>
      </c>
      <c r="B148" s="13">
        <f t="shared" si="2"/>
        <v>897.3599999999999</v>
      </c>
      <c r="C148" s="9">
        <f t="shared" si="3"/>
        <v>708</v>
      </c>
    </row>
    <row r="149" spans="1:3" x14ac:dyDescent="0.25">
      <c r="A149" s="8">
        <v>119</v>
      </c>
      <c r="B149" s="13">
        <f t="shared" si="2"/>
        <v>899.96</v>
      </c>
      <c r="C149" s="9">
        <f t="shared" si="3"/>
        <v>714</v>
      </c>
    </row>
    <row r="150" spans="1:3" x14ac:dyDescent="0.25">
      <c r="A150" s="8">
        <v>120</v>
      </c>
      <c r="B150" s="13">
        <f t="shared" si="2"/>
        <v>902.56</v>
      </c>
      <c r="C150" s="9">
        <f t="shared" si="3"/>
        <v>720</v>
      </c>
    </row>
    <row r="151" spans="1:3" x14ac:dyDescent="0.25">
      <c r="A151" s="8">
        <v>121</v>
      </c>
      <c r="B151" s="13">
        <f t="shared" si="2"/>
        <v>905.16</v>
      </c>
      <c r="C151" s="9">
        <f t="shared" si="3"/>
        <v>726</v>
      </c>
    </row>
    <row r="152" spans="1:3" x14ac:dyDescent="0.25">
      <c r="A152" s="8">
        <v>122</v>
      </c>
      <c r="B152" s="13">
        <f t="shared" si="2"/>
        <v>907.76</v>
      </c>
      <c r="C152" s="9">
        <f t="shared" si="3"/>
        <v>732</v>
      </c>
    </row>
    <row r="153" spans="1:3" x14ac:dyDescent="0.25">
      <c r="A153" s="8">
        <v>123</v>
      </c>
      <c r="B153" s="13">
        <f t="shared" si="2"/>
        <v>910.3599999999999</v>
      </c>
      <c r="C153" s="9">
        <f t="shared" si="3"/>
        <v>738</v>
      </c>
    </row>
    <row r="154" spans="1:3" x14ac:dyDescent="0.25">
      <c r="A154" s="8">
        <v>124</v>
      </c>
      <c r="B154" s="13">
        <f t="shared" si="2"/>
        <v>912.96</v>
      </c>
      <c r="C154" s="9">
        <f t="shared" si="3"/>
        <v>744</v>
      </c>
    </row>
    <row r="155" spans="1:3" x14ac:dyDescent="0.25">
      <c r="A155" s="8">
        <v>125</v>
      </c>
      <c r="B155" s="13">
        <f t="shared" si="2"/>
        <v>915.56</v>
      </c>
      <c r="C155" s="9">
        <f t="shared" si="3"/>
        <v>750</v>
      </c>
    </row>
    <row r="156" spans="1:3" x14ac:dyDescent="0.25">
      <c r="A156" s="8">
        <v>126</v>
      </c>
      <c r="B156" s="13">
        <f t="shared" si="2"/>
        <v>918.16</v>
      </c>
      <c r="C156" s="9">
        <f t="shared" si="3"/>
        <v>756</v>
      </c>
    </row>
    <row r="157" spans="1:3" x14ac:dyDescent="0.25">
      <c r="A157" s="8">
        <v>127</v>
      </c>
      <c r="B157" s="13">
        <f t="shared" si="2"/>
        <v>920.76</v>
      </c>
      <c r="C157" s="9">
        <f t="shared" si="3"/>
        <v>762</v>
      </c>
    </row>
    <row r="158" spans="1:3" x14ac:dyDescent="0.25">
      <c r="A158" s="8">
        <v>128</v>
      </c>
      <c r="B158" s="13">
        <f t="shared" ref="B158:B221" si="4">$B$12+$B$22*A158</f>
        <v>923.3599999999999</v>
      </c>
      <c r="C158" s="9">
        <f t="shared" si="3"/>
        <v>768</v>
      </c>
    </row>
    <row r="159" spans="1:3" x14ac:dyDescent="0.25">
      <c r="A159" s="8">
        <v>129</v>
      </c>
      <c r="B159" s="13">
        <f t="shared" si="4"/>
        <v>925.96</v>
      </c>
      <c r="C159" s="9">
        <f t="shared" ref="C159:C222" si="5">$B$25*A159</f>
        <v>774</v>
      </c>
    </row>
    <row r="160" spans="1:3" x14ac:dyDescent="0.25">
      <c r="A160" s="8">
        <v>130</v>
      </c>
      <c r="B160" s="13">
        <f t="shared" si="4"/>
        <v>928.56</v>
      </c>
      <c r="C160" s="9">
        <f t="shared" si="5"/>
        <v>780</v>
      </c>
    </row>
    <row r="161" spans="1:3" x14ac:dyDescent="0.25">
      <c r="A161" s="8">
        <v>131</v>
      </c>
      <c r="B161" s="13">
        <f t="shared" si="4"/>
        <v>931.16</v>
      </c>
      <c r="C161" s="9">
        <f t="shared" si="5"/>
        <v>786</v>
      </c>
    </row>
    <row r="162" spans="1:3" x14ac:dyDescent="0.25">
      <c r="A162" s="8">
        <v>132</v>
      </c>
      <c r="B162" s="13">
        <f t="shared" si="4"/>
        <v>933.76</v>
      </c>
      <c r="C162" s="9">
        <f t="shared" si="5"/>
        <v>792</v>
      </c>
    </row>
    <row r="163" spans="1:3" x14ac:dyDescent="0.25">
      <c r="A163" s="8">
        <v>133</v>
      </c>
      <c r="B163" s="13">
        <f t="shared" si="4"/>
        <v>936.3599999999999</v>
      </c>
      <c r="C163" s="9">
        <f t="shared" si="5"/>
        <v>798</v>
      </c>
    </row>
    <row r="164" spans="1:3" x14ac:dyDescent="0.25">
      <c r="A164" s="8">
        <v>134</v>
      </c>
      <c r="B164" s="13">
        <f t="shared" si="4"/>
        <v>938.96</v>
      </c>
      <c r="C164" s="9">
        <f t="shared" si="5"/>
        <v>804</v>
      </c>
    </row>
    <row r="165" spans="1:3" x14ac:dyDescent="0.25">
      <c r="A165" s="8">
        <v>135</v>
      </c>
      <c r="B165" s="13">
        <f t="shared" si="4"/>
        <v>941.56</v>
      </c>
      <c r="C165" s="9">
        <f t="shared" si="5"/>
        <v>810</v>
      </c>
    </row>
    <row r="166" spans="1:3" x14ac:dyDescent="0.25">
      <c r="A166" s="8">
        <v>136</v>
      </c>
      <c r="B166" s="13">
        <f t="shared" si="4"/>
        <v>944.16</v>
      </c>
      <c r="C166" s="9">
        <f t="shared" si="5"/>
        <v>816</v>
      </c>
    </row>
    <row r="167" spans="1:3" x14ac:dyDescent="0.25">
      <c r="A167" s="8">
        <v>137</v>
      </c>
      <c r="B167" s="13">
        <f t="shared" si="4"/>
        <v>946.76</v>
      </c>
      <c r="C167" s="9">
        <f t="shared" si="5"/>
        <v>822</v>
      </c>
    </row>
    <row r="168" spans="1:3" x14ac:dyDescent="0.25">
      <c r="A168" s="8">
        <v>138</v>
      </c>
      <c r="B168" s="13">
        <f t="shared" si="4"/>
        <v>949.3599999999999</v>
      </c>
      <c r="C168" s="9">
        <f t="shared" si="5"/>
        <v>828</v>
      </c>
    </row>
    <row r="169" spans="1:3" x14ac:dyDescent="0.25">
      <c r="A169" s="8">
        <v>139</v>
      </c>
      <c r="B169" s="13">
        <f t="shared" si="4"/>
        <v>951.96</v>
      </c>
      <c r="C169" s="9">
        <f t="shared" si="5"/>
        <v>834</v>
      </c>
    </row>
    <row r="170" spans="1:3" x14ac:dyDescent="0.25">
      <c r="A170" s="8">
        <v>140</v>
      </c>
      <c r="B170" s="13">
        <f t="shared" si="4"/>
        <v>954.56</v>
      </c>
      <c r="C170" s="9">
        <f t="shared" si="5"/>
        <v>840</v>
      </c>
    </row>
    <row r="171" spans="1:3" x14ac:dyDescent="0.25">
      <c r="A171" s="8">
        <v>141</v>
      </c>
      <c r="B171" s="13">
        <f t="shared" si="4"/>
        <v>957.16</v>
      </c>
      <c r="C171" s="9">
        <f t="shared" si="5"/>
        <v>846</v>
      </c>
    </row>
    <row r="172" spans="1:3" x14ac:dyDescent="0.25">
      <c r="A172" s="8">
        <v>142</v>
      </c>
      <c r="B172" s="13">
        <f t="shared" si="4"/>
        <v>959.76</v>
      </c>
      <c r="C172" s="9">
        <f t="shared" si="5"/>
        <v>852</v>
      </c>
    </row>
    <row r="173" spans="1:3" x14ac:dyDescent="0.25">
      <c r="A173" s="8">
        <v>143</v>
      </c>
      <c r="B173" s="13">
        <f t="shared" si="4"/>
        <v>962.3599999999999</v>
      </c>
      <c r="C173" s="9">
        <f t="shared" si="5"/>
        <v>858</v>
      </c>
    </row>
    <row r="174" spans="1:3" x14ac:dyDescent="0.25">
      <c r="A174" s="8">
        <v>144</v>
      </c>
      <c r="B174" s="13">
        <f t="shared" si="4"/>
        <v>964.96</v>
      </c>
      <c r="C174" s="9">
        <f t="shared" si="5"/>
        <v>864</v>
      </c>
    </row>
    <row r="175" spans="1:3" x14ac:dyDescent="0.25">
      <c r="A175" s="8">
        <v>145</v>
      </c>
      <c r="B175" s="13">
        <f t="shared" si="4"/>
        <v>967.56</v>
      </c>
      <c r="C175" s="9">
        <f t="shared" si="5"/>
        <v>870</v>
      </c>
    </row>
    <row r="176" spans="1:3" x14ac:dyDescent="0.25">
      <c r="A176" s="8">
        <v>146</v>
      </c>
      <c r="B176" s="13">
        <f t="shared" si="4"/>
        <v>970.16</v>
      </c>
      <c r="C176" s="9">
        <f t="shared" si="5"/>
        <v>876</v>
      </c>
    </row>
    <row r="177" spans="1:3" x14ac:dyDescent="0.25">
      <c r="A177" s="8">
        <v>147</v>
      </c>
      <c r="B177" s="13">
        <f t="shared" si="4"/>
        <v>972.76</v>
      </c>
      <c r="C177" s="9">
        <f t="shared" si="5"/>
        <v>882</v>
      </c>
    </row>
    <row r="178" spans="1:3" x14ac:dyDescent="0.25">
      <c r="A178" s="8">
        <v>148</v>
      </c>
      <c r="B178" s="13">
        <f t="shared" si="4"/>
        <v>975.3599999999999</v>
      </c>
      <c r="C178" s="9">
        <f t="shared" si="5"/>
        <v>888</v>
      </c>
    </row>
    <row r="179" spans="1:3" x14ac:dyDescent="0.25">
      <c r="A179" s="8">
        <v>149</v>
      </c>
      <c r="B179" s="13">
        <f t="shared" si="4"/>
        <v>977.96</v>
      </c>
      <c r="C179" s="9">
        <f t="shared" si="5"/>
        <v>894</v>
      </c>
    </row>
    <row r="180" spans="1:3" x14ac:dyDescent="0.25">
      <c r="A180" s="8">
        <v>150</v>
      </c>
      <c r="B180" s="13">
        <f t="shared" si="4"/>
        <v>980.56</v>
      </c>
      <c r="C180" s="9">
        <f t="shared" si="5"/>
        <v>900</v>
      </c>
    </row>
    <row r="181" spans="1:3" x14ac:dyDescent="0.25">
      <c r="A181" s="8">
        <v>151</v>
      </c>
      <c r="B181" s="13">
        <f t="shared" si="4"/>
        <v>983.16</v>
      </c>
      <c r="C181" s="9">
        <f t="shared" si="5"/>
        <v>906</v>
      </c>
    </row>
    <row r="182" spans="1:3" x14ac:dyDescent="0.25">
      <c r="A182" s="8">
        <v>152</v>
      </c>
      <c r="B182" s="13">
        <f t="shared" si="4"/>
        <v>985.76</v>
      </c>
      <c r="C182" s="9">
        <f t="shared" si="5"/>
        <v>912</v>
      </c>
    </row>
    <row r="183" spans="1:3" x14ac:dyDescent="0.25">
      <c r="A183" s="8">
        <v>153</v>
      </c>
      <c r="B183" s="13">
        <f t="shared" si="4"/>
        <v>988.3599999999999</v>
      </c>
      <c r="C183" s="9">
        <f t="shared" si="5"/>
        <v>918</v>
      </c>
    </row>
    <row r="184" spans="1:3" x14ac:dyDescent="0.25">
      <c r="A184" s="8">
        <v>154</v>
      </c>
      <c r="B184" s="13">
        <f t="shared" si="4"/>
        <v>990.96</v>
      </c>
      <c r="C184" s="9">
        <f t="shared" si="5"/>
        <v>924</v>
      </c>
    </row>
    <row r="185" spans="1:3" x14ac:dyDescent="0.25">
      <c r="A185" s="8">
        <v>155</v>
      </c>
      <c r="B185" s="13">
        <f t="shared" si="4"/>
        <v>993.56</v>
      </c>
      <c r="C185" s="9">
        <f t="shared" si="5"/>
        <v>930</v>
      </c>
    </row>
    <row r="186" spans="1:3" x14ac:dyDescent="0.25">
      <c r="A186" s="8">
        <v>156</v>
      </c>
      <c r="B186" s="13">
        <f t="shared" si="4"/>
        <v>996.16</v>
      </c>
      <c r="C186" s="9">
        <f t="shared" si="5"/>
        <v>936</v>
      </c>
    </row>
    <row r="187" spans="1:3" x14ac:dyDescent="0.25">
      <c r="A187" s="8">
        <v>157</v>
      </c>
      <c r="B187" s="13">
        <f t="shared" si="4"/>
        <v>998.76</v>
      </c>
      <c r="C187" s="9">
        <f t="shared" si="5"/>
        <v>942</v>
      </c>
    </row>
    <row r="188" spans="1:3" x14ac:dyDescent="0.25">
      <c r="A188" s="8">
        <v>158</v>
      </c>
      <c r="B188" s="13">
        <f t="shared" si="4"/>
        <v>1001.3599999999999</v>
      </c>
      <c r="C188" s="9">
        <f t="shared" si="5"/>
        <v>948</v>
      </c>
    </row>
    <row r="189" spans="1:3" x14ac:dyDescent="0.25">
      <c r="A189" s="8">
        <v>159</v>
      </c>
      <c r="B189" s="13">
        <f t="shared" si="4"/>
        <v>1003.96</v>
      </c>
      <c r="C189" s="9">
        <f t="shared" si="5"/>
        <v>954</v>
      </c>
    </row>
    <row r="190" spans="1:3" x14ac:dyDescent="0.25">
      <c r="A190" s="8">
        <v>160</v>
      </c>
      <c r="B190" s="13">
        <f t="shared" si="4"/>
        <v>1006.56</v>
      </c>
      <c r="C190" s="9">
        <f t="shared" si="5"/>
        <v>960</v>
      </c>
    </row>
    <row r="191" spans="1:3" x14ac:dyDescent="0.25">
      <c r="A191" s="8">
        <v>161</v>
      </c>
      <c r="B191" s="13">
        <f t="shared" si="4"/>
        <v>1009.16</v>
      </c>
      <c r="C191" s="9">
        <f t="shared" si="5"/>
        <v>966</v>
      </c>
    </row>
    <row r="192" spans="1:3" x14ac:dyDescent="0.25">
      <c r="A192" s="8">
        <v>162</v>
      </c>
      <c r="B192" s="13">
        <f t="shared" si="4"/>
        <v>1011.76</v>
      </c>
      <c r="C192" s="9">
        <f t="shared" si="5"/>
        <v>972</v>
      </c>
    </row>
    <row r="193" spans="1:3" x14ac:dyDescent="0.25">
      <c r="A193" s="8">
        <v>163</v>
      </c>
      <c r="B193" s="13">
        <f t="shared" si="4"/>
        <v>1014.3599999999999</v>
      </c>
      <c r="C193" s="9">
        <f t="shared" si="5"/>
        <v>978</v>
      </c>
    </row>
    <row r="194" spans="1:3" x14ac:dyDescent="0.25">
      <c r="A194" s="8">
        <v>164</v>
      </c>
      <c r="B194" s="13">
        <f t="shared" si="4"/>
        <v>1016.96</v>
      </c>
      <c r="C194" s="9">
        <f t="shared" si="5"/>
        <v>984</v>
      </c>
    </row>
    <row r="195" spans="1:3" x14ac:dyDescent="0.25">
      <c r="A195" s="8">
        <v>165</v>
      </c>
      <c r="B195" s="13">
        <f t="shared" si="4"/>
        <v>1019.56</v>
      </c>
      <c r="C195" s="9">
        <f t="shared" si="5"/>
        <v>990</v>
      </c>
    </row>
    <row r="196" spans="1:3" x14ac:dyDescent="0.25">
      <c r="A196" s="8">
        <v>166</v>
      </c>
      <c r="B196" s="13">
        <f t="shared" si="4"/>
        <v>1022.16</v>
      </c>
      <c r="C196" s="9">
        <f t="shared" si="5"/>
        <v>996</v>
      </c>
    </row>
    <row r="197" spans="1:3" x14ac:dyDescent="0.25">
      <c r="A197" s="8">
        <v>167</v>
      </c>
      <c r="B197" s="13">
        <f t="shared" si="4"/>
        <v>1024.76</v>
      </c>
      <c r="C197" s="9">
        <f t="shared" si="5"/>
        <v>1002</v>
      </c>
    </row>
    <row r="198" spans="1:3" x14ac:dyDescent="0.25">
      <c r="A198" s="8">
        <v>168</v>
      </c>
      <c r="B198" s="13">
        <f t="shared" si="4"/>
        <v>1027.3599999999999</v>
      </c>
      <c r="C198" s="9">
        <f t="shared" si="5"/>
        <v>1008</v>
      </c>
    </row>
    <row r="199" spans="1:3" x14ac:dyDescent="0.25">
      <c r="A199" s="8">
        <v>169</v>
      </c>
      <c r="B199" s="13">
        <f t="shared" si="4"/>
        <v>1029.96</v>
      </c>
      <c r="C199" s="9">
        <f t="shared" si="5"/>
        <v>1014</v>
      </c>
    </row>
    <row r="200" spans="1:3" x14ac:dyDescent="0.25">
      <c r="A200" s="8">
        <v>170</v>
      </c>
      <c r="B200" s="13">
        <f t="shared" si="4"/>
        <v>1032.56</v>
      </c>
      <c r="C200" s="9">
        <f t="shared" si="5"/>
        <v>1020</v>
      </c>
    </row>
    <row r="201" spans="1:3" x14ac:dyDescent="0.25">
      <c r="A201" s="8">
        <v>171</v>
      </c>
      <c r="B201" s="13">
        <f t="shared" si="4"/>
        <v>1035.1599999999999</v>
      </c>
      <c r="C201" s="9">
        <f t="shared" si="5"/>
        <v>1026</v>
      </c>
    </row>
    <row r="202" spans="1:3" x14ac:dyDescent="0.25">
      <c r="A202" s="8">
        <v>172</v>
      </c>
      <c r="B202" s="13">
        <f t="shared" si="4"/>
        <v>1037.76</v>
      </c>
      <c r="C202" s="9">
        <f t="shared" si="5"/>
        <v>1032</v>
      </c>
    </row>
    <row r="203" spans="1:3" x14ac:dyDescent="0.25">
      <c r="A203" s="8">
        <v>173</v>
      </c>
      <c r="B203" s="13">
        <f t="shared" si="4"/>
        <v>1040.3599999999999</v>
      </c>
      <c r="C203" s="9">
        <f t="shared" si="5"/>
        <v>1038</v>
      </c>
    </row>
    <row r="204" spans="1:3" x14ac:dyDescent="0.25">
      <c r="A204" s="8">
        <v>174</v>
      </c>
      <c r="B204" s="13">
        <f t="shared" si="4"/>
        <v>1042.96</v>
      </c>
      <c r="C204" s="9">
        <f t="shared" si="5"/>
        <v>1044</v>
      </c>
    </row>
    <row r="205" spans="1:3" x14ac:dyDescent="0.25">
      <c r="A205" s="8">
        <v>175</v>
      </c>
      <c r="B205" s="13">
        <f t="shared" si="4"/>
        <v>1045.56</v>
      </c>
      <c r="C205" s="9">
        <f t="shared" si="5"/>
        <v>1050</v>
      </c>
    </row>
    <row r="206" spans="1:3" x14ac:dyDescent="0.25">
      <c r="A206" s="8">
        <v>176</v>
      </c>
      <c r="B206" s="13">
        <f t="shared" si="4"/>
        <v>1048.1599999999999</v>
      </c>
      <c r="C206" s="9">
        <f t="shared" si="5"/>
        <v>1056</v>
      </c>
    </row>
    <row r="207" spans="1:3" x14ac:dyDescent="0.25">
      <c r="A207" s="8">
        <v>177</v>
      </c>
      <c r="B207" s="13">
        <f t="shared" si="4"/>
        <v>1050.76</v>
      </c>
      <c r="C207" s="9">
        <f t="shared" si="5"/>
        <v>1062</v>
      </c>
    </row>
    <row r="208" spans="1:3" x14ac:dyDescent="0.25">
      <c r="A208" s="8">
        <v>178</v>
      </c>
      <c r="B208" s="13">
        <f t="shared" si="4"/>
        <v>1053.3599999999999</v>
      </c>
      <c r="C208" s="9">
        <f t="shared" si="5"/>
        <v>1068</v>
      </c>
    </row>
    <row r="209" spans="1:3" x14ac:dyDescent="0.25">
      <c r="A209" s="8">
        <v>179</v>
      </c>
      <c r="B209" s="13">
        <f t="shared" si="4"/>
        <v>1055.96</v>
      </c>
      <c r="C209" s="9">
        <f t="shared" si="5"/>
        <v>1074</v>
      </c>
    </row>
    <row r="210" spans="1:3" x14ac:dyDescent="0.25">
      <c r="A210" s="8">
        <v>180</v>
      </c>
      <c r="B210" s="13">
        <f t="shared" si="4"/>
        <v>1058.56</v>
      </c>
      <c r="C210" s="9">
        <f t="shared" si="5"/>
        <v>1080</v>
      </c>
    </row>
    <row r="211" spans="1:3" x14ac:dyDescent="0.25">
      <c r="A211" s="8">
        <v>181</v>
      </c>
      <c r="B211" s="13">
        <f t="shared" si="4"/>
        <v>1061.1599999999999</v>
      </c>
      <c r="C211" s="9">
        <f t="shared" si="5"/>
        <v>1086</v>
      </c>
    </row>
    <row r="212" spans="1:3" x14ac:dyDescent="0.25">
      <c r="A212" s="8">
        <v>182</v>
      </c>
      <c r="B212" s="13">
        <f t="shared" si="4"/>
        <v>1063.76</v>
      </c>
      <c r="C212" s="9">
        <f t="shared" si="5"/>
        <v>1092</v>
      </c>
    </row>
    <row r="213" spans="1:3" x14ac:dyDescent="0.25">
      <c r="A213" s="8">
        <v>183</v>
      </c>
      <c r="B213" s="13">
        <f t="shared" si="4"/>
        <v>1066.3599999999999</v>
      </c>
      <c r="C213" s="9">
        <f t="shared" si="5"/>
        <v>1098</v>
      </c>
    </row>
    <row r="214" spans="1:3" x14ac:dyDescent="0.25">
      <c r="A214" s="8">
        <v>184</v>
      </c>
      <c r="B214" s="13">
        <f t="shared" si="4"/>
        <v>1068.96</v>
      </c>
      <c r="C214" s="9">
        <f t="shared" si="5"/>
        <v>1104</v>
      </c>
    </row>
    <row r="215" spans="1:3" x14ac:dyDescent="0.25">
      <c r="A215" s="8">
        <v>185</v>
      </c>
      <c r="B215" s="13">
        <f t="shared" si="4"/>
        <v>1071.56</v>
      </c>
      <c r="C215" s="9">
        <f t="shared" si="5"/>
        <v>1110</v>
      </c>
    </row>
    <row r="216" spans="1:3" x14ac:dyDescent="0.25">
      <c r="A216" s="8">
        <v>186</v>
      </c>
      <c r="B216" s="13">
        <f t="shared" si="4"/>
        <v>1074.1599999999999</v>
      </c>
      <c r="C216" s="9">
        <f t="shared" si="5"/>
        <v>1116</v>
      </c>
    </row>
    <row r="217" spans="1:3" x14ac:dyDescent="0.25">
      <c r="A217" s="8">
        <v>187</v>
      </c>
      <c r="B217" s="13">
        <f t="shared" si="4"/>
        <v>1076.76</v>
      </c>
      <c r="C217" s="9">
        <f t="shared" si="5"/>
        <v>1122</v>
      </c>
    </row>
    <row r="218" spans="1:3" x14ac:dyDescent="0.25">
      <c r="A218" s="8">
        <v>188</v>
      </c>
      <c r="B218" s="13">
        <f t="shared" si="4"/>
        <v>1079.3599999999999</v>
      </c>
      <c r="C218" s="9">
        <f t="shared" si="5"/>
        <v>1128</v>
      </c>
    </row>
    <row r="219" spans="1:3" x14ac:dyDescent="0.25">
      <c r="A219" s="8">
        <v>189</v>
      </c>
      <c r="B219" s="13">
        <f t="shared" si="4"/>
        <v>1081.96</v>
      </c>
      <c r="C219" s="9">
        <f t="shared" si="5"/>
        <v>1134</v>
      </c>
    </row>
    <row r="220" spans="1:3" x14ac:dyDescent="0.25">
      <c r="A220" s="8">
        <v>190</v>
      </c>
      <c r="B220" s="13">
        <f t="shared" si="4"/>
        <v>1084.56</v>
      </c>
      <c r="C220" s="9">
        <f t="shared" si="5"/>
        <v>1140</v>
      </c>
    </row>
    <row r="221" spans="1:3" x14ac:dyDescent="0.25">
      <c r="A221" s="8">
        <v>191</v>
      </c>
      <c r="B221" s="13">
        <f t="shared" si="4"/>
        <v>1087.1599999999999</v>
      </c>
      <c r="C221" s="9">
        <f t="shared" si="5"/>
        <v>1146</v>
      </c>
    </row>
    <row r="222" spans="1:3" x14ac:dyDescent="0.25">
      <c r="A222" s="8">
        <v>192</v>
      </c>
      <c r="B222" s="13">
        <f t="shared" ref="B222:B230" si="6">$B$12+$B$22*A222</f>
        <v>1089.76</v>
      </c>
      <c r="C222" s="9">
        <f t="shared" si="5"/>
        <v>1152</v>
      </c>
    </row>
    <row r="223" spans="1:3" x14ac:dyDescent="0.25">
      <c r="A223" s="8">
        <v>193</v>
      </c>
      <c r="B223" s="13">
        <f t="shared" si="6"/>
        <v>1092.3599999999999</v>
      </c>
      <c r="C223" s="9">
        <f t="shared" ref="C223:C229" si="7">$B$25*A223</f>
        <v>1158</v>
      </c>
    </row>
    <row r="224" spans="1:3" x14ac:dyDescent="0.25">
      <c r="A224" s="8">
        <v>194</v>
      </c>
      <c r="B224" s="13">
        <f t="shared" si="6"/>
        <v>1094.96</v>
      </c>
      <c r="C224" s="9">
        <f t="shared" si="7"/>
        <v>1164</v>
      </c>
    </row>
    <row r="225" spans="1:3" x14ac:dyDescent="0.25">
      <c r="A225" s="8">
        <v>195</v>
      </c>
      <c r="B225" s="13">
        <f t="shared" si="6"/>
        <v>1097.56</v>
      </c>
      <c r="C225" s="9">
        <f t="shared" si="7"/>
        <v>1170</v>
      </c>
    </row>
    <row r="226" spans="1:3" x14ac:dyDescent="0.25">
      <c r="A226" s="8">
        <v>196</v>
      </c>
      <c r="B226" s="13">
        <f t="shared" si="6"/>
        <v>1100.1599999999999</v>
      </c>
      <c r="C226" s="9">
        <f t="shared" si="7"/>
        <v>1176</v>
      </c>
    </row>
    <row r="227" spans="1:3" x14ac:dyDescent="0.25">
      <c r="A227" s="8">
        <v>197</v>
      </c>
      <c r="B227" s="13">
        <f t="shared" si="6"/>
        <v>1102.76</v>
      </c>
      <c r="C227" s="9">
        <f t="shared" si="7"/>
        <v>1182</v>
      </c>
    </row>
    <row r="228" spans="1:3" x14ac:dyDescent="0.25">
      <c r="A228" s="8">
        <v>198</v>
      </c>
      <c r="B228" s="13">
        <f t="shared" si="6"/>
        <v>1105.3600000000001</v>
      </c>
      <c r="C228" s="9">
        <f t="shared" si="7"/>
        <v>1188</v>
      </c>
    </row>
    <row r="229" spans="1:3" x14ac:dyDescent="0.25">
      <c r="A229" s="8">
        <v>199</v>
      </c>
      <c r="B229" s="13">
        <f t="shared" si="6"/>
        <v>1107.96</v>
      </c>
      <c r="C229" s="9">
        <f t="shared" si="7"/>
        <v>1194</v>
      </c>
    </row>
    <row r="230" spans="1:3" x14ac:dyDescent="0.25">
      <c r="A230" s="8">
        <v>200</v>
      </c>
      <c r="B230" s="13">
        <f t="shared" si="6"/>
        <v>1110.56</v>
      </c>
      <c r="C230" s="9">
        <f>$B$25*A230</f>
        <v>1200</v>
      </c>
    </row>
    <row r="231" spans="1:3" x14ac:dyDescent="0.25">
      <c r="A231" s="8">
        <v>201</v>
      </c>
      <c r="B231" s="13">
        <f t="shared" ref="B231:B255" si="8">$B$12+$B$22*A231</f>
        <v>1113.1599999999999</v>
      </c>
      <c r="C231" s="9">
        <f t="shared" ref="C231:C244" si="9">$B$25*A231</f>
        <v>1206</v>
      </c>
    </row>
    <row r="232" spans="1:3" x14ac:dyDescent="0.25">
      <c r="A232" s="8">
        <v>202</v>
      </c>
      <c r="B232" s="13">
        <f t="shared" si="8"/>
        <v>1115.76</v>
      </c>
      <c r="C232" s="9">
        <f t="shared" si="9"/>
        <v>1212</v>
      </c>
    </row>
    <row r="233" spans="1:3" x14ac:dyDescent="0.25">
      <c r="A233" s="8">
        <v>203</v>
      </c>
      <c r="B233" s="13">
        <f t="shared" si="8"/>
        <v>1118.3600000000001</v>
      </c>
      <c r="C233" s="9">
        <f t="shared" si="9"/>
        <v>1218</v>
      </c>
    </row>
    <row r="234" spans="1:3" x14ac:dyDescent="0.25">
      <c r="A234" s="8">
        <v>204</v>
      </c>
      <c r="B234" s="13">
        <f t="shared" si="8"/>
        <v>1120.96</v>
      </c>
      <c r="C234" s="9">
        <f t="shared" si="9"/>
        <v>1224</v>
      </c>
    </row>
    <row r="235" spans="1:3" x14ac:dyDescent="0.25">
      <c r="A235" s="8">
        <v>205</v>
      </c>
      <c r="B235" s="13">
        <f t="shared" si="8"/>
        <v>1123.56</v>
      </c>
      <c r="C235" s="9">
        <f t="shared" si="9"/>
        <v>1230</v>
      </c>
    </row>
    <row r="236" spans="1:3" x14ac:dyDescent="0.25">
      <c r="A236" s="8">
        <v>206</v>
      </c>
      <c r="B236" s="13">
        <f t="shared" si="8"/>
        <v>1126.1599999999999</v>
      </c>
      <c r="C236" s="9">
        <f t="shared" si="9"/>
        <v>1236</v>
      </c>
    </row>
    <row r="237" spans="1:3" x14ac:dyDescent="0.25">
      <c r="A237" s="8">
        <v>207</v>
      </c>
      <c r="B237" s="13">
        <f t="shared" si="8"/>
        <v>1128.76</v>
      </c>
      <c r="C237" s="9">
        <f t="shared" si="9"/>
        <v>1242</v>
      </c>
    </row>
    <row r="238" spans="1:3" x14ac:dyDescent="0.25">
      <c r="A238" s="8">
        <v>208</v>
      </c>
      <c r="B238" s="13">
        <f t="shared" si="8"/>
        <v>1131.3600000000001</v>
      </c>
      <c r="C238" s="9">
        <f t="shared" si="9"/>
        <v>1248</v>
      </c>
    </row>
    <row r="239" spans="1:3" x14ac:dyDescent="0.25">
      <c r="A239" s="8">
        <v>209</v>
      </c>
      <c r="B239" s="13">
        <f t="shared" si="8"/>
        <v>1133.96</v>
      </c>
      <c r="C239" s="9">
        <f t="shared" si="9"/>
        <v>1254</v>
      </c>
    </row>
    <row r="240" spans="1:3" x14ac:dyDescent="0.25">
      <c r="A240" s="8">
        <v>210</v>
      </c>
      <c r="B240" s="13">
        <f t="shared" si="8"/>
        <v>1136.56</v>
      </c>
      <c r="C240" s="9">
        <f t="shared" si="9"/>
        <v>1260</v>
      </c>
    </row>
    <row r="241" spans="1:3" x14ac:dyDescent="0.25">
      <c r="A241" s="8">
        <v>211</v>
      </c>
      <c r="B241" s="13">
        <f t="shared" si="8"/>
        <v>1139.1599999999999</v>
      </c>
      <c r="C241" s="9">
        <f t="shared" si="9"/>
        <v>1266</v>
      </c>
    </row>
    <row r="242" spans="1:3" x14ac:dyDescent="0.25">
      <c r="A242" s="8">
        <v>212</v>
      </c>
      <c r="B242" s="13">
        <f t="shared" si="8"/>
        <v>1141.76</v>
      </c>
      <c r="C242" s="9">
        <f t="shared" si="9"/>
        <v>1272</v>
      </c>
    </row>
    <row r="243" spans="1:3" x14ac:dyDescent="0.25">
      <c r="A243" s="8">
        <v>213</v>
      </c>
      <c r="B243" s="13">
        <f t="shared" si="8"/>
        <v>1144.3600000000001</v>
      </c>
      <c r="C243" s="9">
        <f t="shared" si="9"/>
        <v>1278</v>
      </c>
    </row>
    <row r="244" spans="1:3" x14ac:dyDescent="0.25">
      <c r="A244" s="8">
        <v>214</v>
      </c>
      <c r="B244" s="13">
        <f t="shared" si="8"/>
        <v>1146.96</v>
      </c>
      <c r="C244" s="9">
        <f t="shared" si="9"/>
        <v>1284</v>
      </c>
    </row>
    <row r="245" spans="1:3" x14ac:dyDescent="0.25">
      <c r="A245" s="8">
        <v>215</v>
      </c>
      <c r="B245" s="13">
        <f>$B$12+$B$22*A245</f>
        <v>1149.56</v>
      </c>
      <c r="C245" s="9">
        <f>$B$25*A245</f>
        <v>1290</v>
      </c>
    </row>
    <row r="246" spans="1:3" x14ac:dyDescent="0.25">
      <c r="A246" s="8">
        <v>216</v>
      </c>
      <c r="B246" s="13">
        <f t="shared" si="8"/>
        <v>1152.1599999999999</v>
      </c>
      <c r="C246" s="9">
        <f t="shared" ref="C246:C250" si="10">$B$25*A246</f>
        <v>1296</v>
      </c>
    </row>
    <row r="247" spans="1:3" x14ac:dyDescent="0.25">
      <c r="A247" s="8">
        <v>217</v>
      </c>
      <c r="B247" s="13">
        <f t="shared" si="8"/>
        <v>1154.76</v>
      </c>
      <c r="C247" s="9">
        <f t="shared" si="10"/>
        <v>1302</v>
      </c>
    </row>
    <row r="248" spans="1:3" x14ac:dyDescent="0.25">
      <c r="A248" s="8">
        <v>218</v>
      </c>
      <c r="B248" s="13">
        <f t="shared" si="8"/>
        <v>1157.3600000000001</v>
      </c>
      <c r="C248" s="9">
        <f t="shared" si="10"/>
        <v>1308</v>
      </c>
    </row>
    <row r="249" spans="1:3" x14ac:dyDescent="0.25">
      <c r="A249" s="8">
        <v>219</v>
      </c>
      <c r="B249" s="13">
        <f t="shared" si="8"/>
        <v>1159.96</v>
      </c>
      <c r="C249" s="9">
        <f t="shared" si="10"/>
        <v>1314</v>
      </c>
    </row>
    <row r="250" spans="1:3" x14ac:dyDescent="0.25">
      <c r="A250" s="8">
        <v>220</v>
      </c>
      <c r="B250" s="13">
        <f t="shared" si="8"/>
        <v>1162.56</v>
      </c>
      <c r="C250" s="9">
        <f t="shared" si="10"/>
        <v>1320</v>
      </c>
    </row>
    <row r="251" spans="1:3" x14ac:dyDescent="0.25">
      <c r="A251" s="8">
        <v>221</v>
      </c>
      <c r="B251" s="13">
        <f>$B$12+$B$22*A251</f>
        <v>1165.1599999999999</v>
      </c>
      <c r="C251" s="9">
        <f>$B$25*A251</f>
        <v>1326</v>
      </c>
    </row>
    <row r="252" spans="1:3" x14ac:dyDescent="0.25">
      <c r="A252" s="8">
        <v>222</v>
      </c>
      <c r="B252" s="13">
        <f t="shared" si="8"/>
        <v>1167.76</v>
      </c>
      <c r="C252" s="9">
        <f t="shared" ref="C252:C255" si="11">$B$25*A252</f>
        <v>1332</v>
      </c>
    </row>
    <row r="253" spans="1:3" x14ac:dyDescent="0.25">
      <c r="A253" s="8">
        <v>223</v>
      </c>
      <c r="B253" s="13">
        <f t="shared" si="8"/>
        <v>1170.3600000000001</v>
      </c>
      <c r="C253" s="9">
        <f t="shared" si="11"/>
        <v>1338</v>
      </c>
    </row>
    <row r="254" spans="1:3" x14ac:dyDescent="0.25">
      <c r="A254" s="8">
        <v>224</v>
      </c>
      <c r="B254" s="13">
        <f t="shared" si="8"/>
        <v>1172.96</v>
      </c>
      <c r="C254" s="9">
        <f t="shared" si="11"/>
        <v>1344</v>
      </c>
    </row>
    <row r="255" spans="1:3" x14ac:dyDescent="0.25">
      <c r="A255" s="8">
        <v>225</v>
      </c>
      <c r="B255" s="13">
        <f t="shared" si="8"/>
        <v>1175.56</v>
      </c>
      <c r="C255" s="9">
        <f t="shared" si="11"/>
        <v>1350</v>
      </c>
    </row>
  </sheetData>
  <mergeCells count="2">
    <mergeCell ref="A3:B3"/>
    <mergeCell ref="A16:B16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51139-5654-43BF-B963-5D244835E3DC}">
  <dimension ref="A3:F230"/>
  <sheetViews>
    <sheetView tabSelected="1" zoomScale="90" zoomScaleNormal="90" workbookViewId="0">
      <selection activeCell="F17" sqref="F17"/>
    </sheetView>
  </sheetViews>
  <sheetFormatPr baseColWidth="10" defaultRowHeight="15" x14ac:dyDescent="0.25"/>
  <cols>
    <col min="1" max="1" width="23" bestFit="1" customWidth="1"/>
    <col min="2" max="2" width="14.85546875" style="11" customWidth="1"/>
    <col min="3" max="3" width="20.85546875" customWidth="1"/>
    <col min="5" max="5" width="20.7109375" bestFit="1" customWidth="1"/>
    <col min="6" max="6" width="15.42578125" customWidth="1"/>
  </cols>
  <sheetData>
    <row r="3" spans="1:6" x14ac:dyDescent="0.25">
      <c r="A3" s="18" t="s">
        <v>2</v>
      </c>
      <c r="B3" s="18"/>
    </row>
    <row r="4" spans="1:6" x14ac:dyDescent="0.25">
      <c r="A4" s="1" t="s">
        <v>0</v>
      </c>
      <c r="B4" s="12" t="s">
        <v>1</v>
      </c>
    </row>
    <row r="5" spans="1:6" x14ac:dyDescent="0.25">
      <c r="A5" s="2" t="s">
        <v>19</v>
      </c>
      <c r="B5" s="3">
        <v>0.56000000000000005</v>
      </c>
    </row>
    <row r="6" spans="1:6" x14ac:dyDescent="0.25">
      <c r="A6" s="2" t="s">
        <v>20</v>
      </c>
      <c r="B6" s="3">
        <v>450</v>
      </c>
    </row>
    <row r="7" spans="1:6" x14ac:dyDescent="0.25">
      <c r="A7" s="2" t="s">
        <v>21</v>
      </c>
      <c r="B7" s="3">
        <v>55</v>
      </c>
    </row>
    <row r="8" spans="1:6" x14ac:dyDescent="0.25">
      <c r="A8" s="2" t="s">
        <v>22</v>
      </c>
      <c r="B8" s="3">
        <v>50</v>
      </c>
    </row>
    <row r="9" spans="1:6" x14ac:dyDescent="0.25">
      <c r="A9" s="2" t="s">
        <v>23</v>
      </c>
      <c r="B9" s="3">
        <v>10</v>
      </c>
    </row>
    <row r="10" spans="1:6" x14ac:dyDescent="0.25">
      <c r="A10" s="2" t="s">
        <v>24</v>
      </c>
      <c r="B10" s="3">
        <v>15</v>
      </c>
    </row>
    <row r="11" spans="1:6" x14ac:dyDescent="0.25">
      <c r="A11" s="2" t="s">
        <v>25</v>
      </c>
      <c r="B11" s="3">
        <v>10</v>
      </c>
    </row>
    <row r="12" spans="1:6" x14ac:dyDescent="0.25">
      <c r="A12" s="4" t="s">
        <v>17</v>
      </c>
      <c r="B12" s="5">
        <f>SUM(B5:B11)</f>
        <v>590.55999999999995</v>
      </c>
    </row>
    <row r="16" spans="1:6" x14ac:dyDescent="0.25">
      <c r="A16" s="18" t="s">
        <v>6</v>
      </c>
      <c r="B16" s="18"/>
      <c r="E16" s="6" t="s">
        <v>11</v>
      </c>
      <c r="F16" s="7">
        <f>B12/(B25-B22)</f>
        <v>173.69411764705882</v>
      </c>
    </row>
    <row r="17" spans="1:6" x14ac:dyDescent="0.25">
      <c r="A17" s="1" t="s">
        <v>0</v>
      </c>
      <c r="B17" s="12" t="s">
        <v>1</v>
      </c>
      <c r="E17" s="6" t="s">
        <v>12</v>
      </c>
      <c r="F17" s="7">
        <f>F16*B25</f>
        <v>1042.1647058823528</v>
      </c>
    </row>
    <row r="18" spans="1:6" x14ac:dyDescent="0.25">
      <c r="A18" s="2" t="s">
        <v>7</v>
      </c>
      <c r="B18" s="3">
        <v>1.25</v>
      </c>
      <c r="F18">
        <f>F16*B22</f>
        <v>451.60470588235296</v>
      </c>
    </row>
    <row r="19" spans="1:6" x14ac:dyDescent="0.25">
      <c r="A19" s="2" t="s">
        <v>27</v>
      </c>
      <c r="B19" s="3">
        <v>0.25</v>
      </c>
    </row>
    <row r="20" spans="1:6" x14ac:dyDescent="0.25">
      <c r="A20" s="2" t="s">
        <v>9</v>
      </c>
      <c r="B20" s="3">
        <v>0.85</v>
      </c>
    </row>
    <row r="21" spans="1:6" x14ac:dyDescent="0.25">
      <c r="A21" s="2" t="s">
        <v>26</v>
      </c>
      <c r="B21" s="3">
        <v>0.25</v>
      </c>
    </row>
    <row r="22" spans="1:6" x14ac:dyDescent="0.25">
      <c r="A22" s="4" t="s">
        <v>18</v>
      </c>
      <c r="B22" s="5">
        <f>SUM(B18:B21)</f>
        <v>2.6</v>
      </c>
    </row>
    <row r="25" spans="1:6" x14ac:dyDescent="0.25">
      <c r="A25" s="4" t="s">
        <v>13</v>
      </c>
      <c r="B25" s="5">
        <v>6</v>
      </c>
    </row>
    <row r="29" spans="1:6" x14ac:dyDescent="0.25">
      <c r="A29" s="10" t="s">
        <v>14</v>
      </c>
      <c r="B29" s="14" t="s">
        <v>15</v>
      </c>
      <c r="C29" s="10" t="s">
        <v>16</v>
      </c>
    </row>
    <row r="30" spans="1:6" x14ac:dyDescent="0.25">
      <c r="A30" s="8">
        <v>0</v>
      </c>
      <c r="B30" s="13">
        <f>$B$12+$B$22*A30</f>
        <v>590.55999999999995</v>
      </c>
      <c r="C30" s="9">
        <f>$B$25*A30</f>
        <v>0</v>
      </c>
    </row>
    <row r="31" spans="1:6" x14ac:dyDescent="0.25">
      <c r="A31" s="8">
        <v>1</v>
      </c>
      <c r="B31" s="13">
        <f t="shared" ref="B31:B94" si="0">$B$12+$B$22*A31</f>
        <v>593.16</v>
      </c>
      <c r="C31" s="9">
        <f t="shared" ref="C31:C94" si="1">$B$25*A31</f>
        <v>6</v>
      </c>
    </row>
    <row r="32" spans="1:6" x14ac:dyDescent="0.25">
      <c r="A32" s="8">
        <v>2</v>
      </c>
      <c r="B32" s="13">
        <f t="shared" si="0"/>
        <v>595.76</v>
      </c>
      <c r="C32" s="9">
        <f t="shared" si="1"/>
        <v>12</v>
      </c>
    </row>
    <row r="33" spans="1:3" x14ac:dyDescent="0.25">
      <c r="A33" s="8">
        <v>3</v>
      </c>
      <c r="B33" s="13">
        <f t="shared" si="0"/>
        <v>598.3599999999999</v>
      </c>
      <c r="C33" s="9">
        <f t="shared" si="1"/>
        <v>18</v>
      </c>
    </row>
    <row r="34" spans="1:3" x14ac:dyDescent="0.25">
      <c r="A34" s="8">
        <v>4</v>
      </c>
      <c r="B34" s="13">
        <f t="shared" si="0"/>
        <v>600.95999999999992</v>
      </c>
      <c r="C34" s="9">
        <f t="shared" si="1"/>
        <v>24</v>
      </c>
    </row>
    <row r="35" spans="1:3" x14ac:dyDescent="0.25">
      <c r="A35" s="8">
        <v>5</v>
      </c>
      <c r="B35" s="13">
        <f t="shared" si="0"/>
        <v>603.55999999999995</v>
      </c>
      <c r="C35" s="9">
        <f t="shared" si="1"/>
        <v>30</v>
      </c>
    </row>
    <row r="36" spans="1:3" x14ac:dyDescent="0.25">
      <c r="A36" s="8">
        <v>6</v>
      </c>
      <c r="B36" s="13">
        <f t="shared" si="0"/>
        <v>606.16</v>
      </c>
      <c r="C36" s="9">
        <f t="shared" si="1"/>
        <v>36</v>
      </c>
    </row>
    <row r="37" spans="1:3" x14ac:dyDescent="0.25">
      <c r="A37" s="8">
        <v>7</v>
      </c>
      <c r="B37" s="13">
        <f t="shared" si="0"/>
        <v>608.76</v>
      </c>
      <c r="C37" s="9">
        <f t="shared" si="1"/>
        <v>42</v>
      </c>
    </row>
    <row r="38" spans="1:3" x14ac:dyDescent="0.25">
      <c r="A38" s="8">
        <v>8</v>
      </c>
      <c r="B38" s="13">
        <f t="shared" si="0"/>
        <v>611.3599999999999</v>
      </c>
      <c r="C38" s="9">
        <f t="shared" si="1"/>
        <v>48</v>
      </c>
    </row>
    <row r="39" spans="1:3" x14ac:dyDescent="0.25">
      <c r="A39" s="8">
        <v>9</v>
      </c>
      <c r="B39" s="13">
        <f t="shared" si="0"/>
        <v>613.95999999999992</v>
      </c>
      <c r="C39" s="9">
        <f t="shared" si="1"/>
        <v>54</v>
      </c>
    </row>
    <row r="40" spans="1:3" x14ac:dyDescent="0.25">
      <c r="A40" s="8">
        <v>10</v>
      </c>
      <c r="B40" s="13">
        <f t="shared" si="0"/>
        <v>616.55999999999995</v>
      </c>
      <c r="C40" s="9">
        <f t="shared" si="1"/>
        <v>60</v>
      </c>
    </row>
    <row r="41" spans="1:3" x14ac:dyDescent="0.25">
      <c r="A41" s="8">
        <v>11</v>
      </c>
      <c r="B41" s="13">
        <f t="shared" si="0"/>
        <v>619.16</v>
      </c>
      <c r="C41" s="9">
        <f t="shared" si="1"/>
        <v>66</v>
      </c>
    </row>
    <row r="42" spans="1:3" x14ac:dyDescent="0.25">
      <c r="A42" s="8">
        <v>12</v>
      </c>
      <c r="B42" s="13">
        <f t="shared" si="0"/>
        <v>621.76</v>
      </c>
      <c r="C42" s="9">
        <f t="shared" si="1"/>
        <v>72</v>
      </c>
    </row>
    <row r="43" spans="1:3" x14ac:dyDescent="0.25">
      <c r="A43" s="8">
        <v>13</v>
      </c>
      <c r="B43" s="13">
        <f t="shared" si="0"/>
        <v>624.3599999999999</v>
      </c>
      <c r="C43" s="9">
        <f t="shared" si="1"/>
        <v>78</v>
      </c>
    </row>
    <row r="44" spans="1:3" x14ac:dyDescent="0.25">
      <c r="A44" s="8">
        <v>14</v>
      </c>
      <c r="B44" s="13">
        <f t="shared" si="0"/>
        <v>626.95999999999992</v>
      </c>
      <c r="C44" s="9">
        <f t="shared" si="1"/>
        <v>84</v>
      </c>
    </row>
    <row r="45" spans="1:3" x14ac:dyDescent="0.25">
      <c r="A45" s="8">
        <v>15</v>
      </c>
      <c r="B45" s="13">
        <f t="shared" si="0"/>
        <v>629.55999999999995</v>
      </c>
      <c r="C45" s="9">
        <f t="shared" si="1"/>
        <v>90</v>
      </c>
    </row>
    <row r="46" spans="1:3" x14ac:dyDescent="0.25">
      <c r="A46" s="8">
        <v>16</v>
      </c>
      <c r="B46" s="13">
        <f t="shared" si="0"/>
        <v>632.16</v>
      </c>
      <c r="C46" s="9">
        <f t="shared" si="1"/>
        <v>96</v>
      </c>
    </row>
    <row r="47" spans="1:3" x14ac:dyDescent="0.25">
      <c r="A47" s="8">
        <v>17</v>
      </c>
      <c r="B47" s="13">
        <f t="shared" si="0"/>
        <v>634.76</v>
      </c>
      <c r="C47" s="9">
        <f t="shared" si="1"/>
        <v>102</v>
      </c>
    </row>
    <row r="48" spans="1:3" x14ac:dyDescent="0.25">
      <c r="A48" s="8">
        <v>18</v>
      </c>
      <c r="B48" s="13">
        <f t="shared" si="0"/>
        <v>637.3599999999999</v>
      </c>
      <c r="C48" s="9">
        <f t="shared" si="1"/>
        <v>108</v>
      </c>
    </row>
    <row r="49" spans="1:3" x14ac:dyDescent="0.25">
      <c r="A49" s="8">
        <v>19</v>
      </c>
      <c r="B49" s="13">
        <f t="shared" si="0"/>
        <v>639.95999999999992</v>
      </c>
      <c r="C49" s="9">
        <f t="shared" si="1"/>
        <v>114</v>
      </c>
    </row>
    <row r="50" spans="1:3" x14ac:dyDescent="0.25">
      <c r="A50" s="8">
        <v>20</v>
      </c>
      <c r="B50" s="13">
        <f t="shared" si="0"/>
        <v>642.55999999999995</v>
      </c>
      <c r="C50" s="9">
        <f t="shared" si="1"/>
        <v>120</v>
      </c>
    </row>
    <row r="51" spans="1:3" x14ac:dyDescent="0.25">
      <c r="A51" s="8">
        <v>21</v>
      </c>
      <c r="B51" s="13">
        <f t="shared" si="0"/>
        <v>645.16</v>
      </c>
      <c r="C51" s="9">
        <f t="shared" si="1"/>
        <v>126</v>
      </c>
    </row>
    <row r="52" spans="1:3" x14ac:dyDescent="0.25">
      <c r="A52" s="8">
        <v>22</v>
      </c>
      <c r="B52" s="13">
        <f t="shared" si="0"/>
        <v>647.76</v>
      </c>
      <c r="C52" s="9">
        <f t="shared" si="1"/>
        <v>132</v>
      </c>
    </row>
    <row r="53" spans="1:3" x14ac:dyDescent="0.25">
      <c r="A53" s="8">
        <v>23</v>
      </c>
      <c r="B53" s="13">
        <f t="shared" si="0"/>
        <v>650.3599999999999</v>
      </c>
      <c r="C53" s="9">
        <f t="shared" si="1"/>
        <v>138</v>
      </c>
    </row>
    <row r="54" spans="1:3" x14ac:dyDescent="0.25">
      <c r="A54" s="8">
        <v>24</v>
      </c>
      <c r="B54" s="13">
        <f t="shared" si="0"/>
        <v>652.95999999999992</v>
      </c>
      <c r="C54" s="9">
        <f t="shared" si="1"/>
        <v>144</v>
      </c>
    </row>
    <row r="55" spans="1:3" x14ac:dyDescent="0.25">
      <c r="A55" s="8">
        <v>25</v>
      </c>
      <c r="B55" s="13">
        <f t="shared" si="0"/>
        <v>655.56</v>
      </c>
      <c r="C55" s="9">
        <f t="shared" si="1"/>
        <v>150</v>
      </c>
    </row>
    <row r="56" spans="1:3" x14ac:dyDescent="0.25">
      <c r="A56" s="8">
        <v>26</v>
      </c>
      <c r="B56" s="13">
        <f t="shared" si="0"/>
        <v>658.16</v>
      </c>
      <c r="C56" s="9">
        <f t="shared" si="1"/>
        <v>156</v>
      </c>
    </row>
    <row r="57" spans="1:3" x14ac:dyDescent="0.25">
      <c r="A57" s="8">
        <v>27</v>
      </c>
      <c r="B57" s="13">
        <f t="shared" si="0"/>
        <v>660.76</v>
      </c>
      <c r="C57" s="9">
        <f t="shared" si="1"/>
        <v>162</v>
      </c>
    </row>
    <row r="58" spans="1:3" x14ac:dyDescent="0.25">
      <c r="A58" s="8">
        <v>28</v>
      </c>
      <c r="B58" s="13">
        <f t="shared" si="0"/>
        <v>663.3599999999999</v>
      </c>
      <c r="C58" s="9">
        <f t="shared" si="1"/>
        <v>168</v>
      </c>
    </row>
    <row r="59" spans="1:3" x14ac:dyDescent="0.25">
      <c r="A59" s="8">
        <v>29</v>
      </c>
      <c r="B59" s="13">
        <f t="shared" si="0"/>
        <v>665.95999999999992</v>
      </c>
      <c r="C59" s="9">
        <f t="shared" si="1"/>
        <v>174</v>
      </c>
    </row>
    <row r="60" spans="1:3" x14ac:dyDescent="0.25">
      <c r="A60" s="8">
        <v>30</v>
      </c>
      <c r="B60" s="13">
        <f t="shared" si="0"/>
        <v>668.56</v>
      </c>
      <c r="C60" s="9">
        <f t="shared" si="1"/>
        <v>180</v>
      </c>
    </row>
    <row r="61" spans="1:3" x14ac:dyDescent="0.25">
      <c r="A61" s="8">
        <v>31</v>
      </c>
      <c r="B61" s="13">
        <f t="shared" si="0"/>
        <v>671.16</v>
      </c>
      <c r="C61" s="9">
        <f t="shared" si="1"/>
        <v>186</v>
      </c>
    </row>
    <row r="62" spans="1:3" x14ac:dyDescent="0.25">
      <c r="A62" s="8">
        <v>32</v>
      </c>
      <c r="B62" s="13">
        <f t="shared" si="0"/>
        <v>673.76</v>
      </c>
      <c r="C62" s="9">
        <f t="shared" si="1"/>
        <v>192</v>
      </c>
    </row>
    <row r="63" spans="1:3" x14ac:dyDescent="0.25">
      <c r="A63" s="8">
        <v>33</v>
      </c>
      <c r="B63" s="13">
        <f t="shared" si="0"/>
        <v>676.3599999999999</v>
      </c>
      <c r="C63" s="9">
        <f t="shared" si="1"/>
        <v>198</v>
      </c>
    </row>
    <row r="64" spans="1:3" x14ac:dyDescent="0.25">
      <c r="A64" s="8">
        <v>34</v>
      </c>
      <c r="B64" s="13">
        <f t="shared" si="0"/>
        <v>678.95999999999992</v>
      </c>
      <c r="C64" s="9">
        <f t="shared" si="1"/>
        <v>204</v>
      </c>
    </row>
    <row r="65" spans="1:3" x14ac:dyDescent="0.25">
      <c r="A65" s="8">
        <v>35</v>
      </c>
      <c r="B65" s="13">
        <f t="shared" si="0"/>
        <v>681.56</v>
      </c>
      <c r="C65" s="9">
        <f t="shared" si="1"/>
        <v>210</v>
      </c>
    </row>
    <row r="66" spans="1:3" x14ac:dyDescent="0.25">
      <c r="A66" s="8">
        <v>36</v>
      </c>
      <c r="B66" s="13">
        <f t="shared" si="0"/>
        <v>684.16</v>
      </c>
      <c r="C66" s="9">
        <f t="shared" si="1"/>
        <v>216</v>
      </c>
    </row>
    <row r="67" spans="1:3" x14ac:dyDescent="0.25">
      <c r="A67" s="8">
        <v>37</v>
      </c>
      <c r="B67" s="13">
        <f t="shared" si="0"/>
        <v>686.76</v>
      </c>
      <c r="C67" s="9">
        <f t="shared" si="1"/>
        <v>222</v>
      </c>
    </row>
    <row r="68" spans="1:3" x14ac:dyDescent="0.25">
      <c r="A68" s="8">
        <v>38</v>
      </c>
      <c r="B68" s="13">
        <f t="shared" si="0"/>
        <v>689.3599999999999</v>
      </c>
      <c r="C68" s="9">
        <f t="shared" si="1"/>
        <v>228</v>
      </c>
    </row>
    <row r="69" spans="1:3" x14ac:dyDescent="0.25">
      <c r="A69" s="8">
        <v>39</v>
      </c>
      <c r="B69" s="13">
        <f t="shared" si="0"/>
        <v>691.95999999999992</v>
      </c>
      <c r="C69" s="9">
        <f t="shared" si="1"/>
        <v>234</v>
      </c>
    </row>
    <row r="70" spans="1:3" x14ac:dyDescent="0.25">
      <c r="A70" s="8">
        <v>40</v>
      </c>
      <c r="B70" s="13">
        <f t="shared" si="0"/>
        <v>694.56</v>
      </c>
      <c r="C70" s="9">
        <f t="shared" si="1"/>
        <v>240</v>
      </c>
    </row>
    <row r="71" spans="1:3" x14ac:dyDescent="0.25">
      <c r="A71" s="8">
        <v>41</v>
      </c>
      <c r="B71" s="13">
        <f t="shared" si="0"/>
        <v>697.16</v>
      </c>
      <c r="C71" s="9">
        <f t="shared" si="1"/>
        <v>246</v>
      </c>
    </row>
    <row r="72" spans="1:3" x14ac:dyDescent="0.25">
      <c r="A72" s="8">
        <v>42</v>
      </c>
      <c r="B72" s="13">
        <f t="shared" si="0"/>
        <v>699.76</v>
      </c>
      <c r="C72" s="9">
        <f t="shared" si="1"/>
        <v>252</v>
      </c>
    </row>
    <row r="73" spans="1:3" x14ac:dyDescent="0.25">
      <c r="A73" s="8">
        <v>43</v>
      </c>
      <c r="B73" s="13">
        <f t="shared" si="0"/>
        <v>702.3599999999999</v>
      </c>
      <c r="C73" s="9">
        <f t="shared" si="1"/>
        <v>258</v>
      </c>
    </row>
    <row r="74" spans="1:3" x14ac:dyDescent="0.25">
      <c r="A74" s="8">
        <v>44</v>
      </c>
      <c r="B74" s="13">
        <f t="shared" si="0"/>
        <v>704.95999999999992</v>
      </c>
      <c r="C74" s="9">
        <f t="shared" si="1"/>
        <v>264</v>
      </c>
    </row>
    <row r="75" spans="1:3" x14ac:dyDescent="0.25">
      <c r="A75" s="8">
        <v>45</v>
      </c>
      <c r="B75" s="13">
        <f t="shared" si="0"/>
        <v>707.56</v>
      </c>
      <c r="C75" s="9">
        <f t="shared" si="1"/>
        <v>270</v>
      </c>
    </row>
    <row r="76" spans="1:3" x14ac:dyDescent="0.25">
      <c r="A76" s="8">
        <v>46</v>
      </c>
      <c r="B76" s="13">
        <f t="shared" si="0"/>
        <v>710.16</v>
      </c>
      <c r="C76" s="9">
        <f t="shared" si="1"/>
        <v>276</v>
      </c>
    </row>
    <row r="77" spans="1:3" x14ac:dyDescent="0.25">
      <c r="A77" s="8">
        <v>47</v>
      </c>
      <c r="B77" s="13">
        <f t="shared" si="0"/>
        <v>712.76</v>
      </c>
      <c r="C77" s="9">
        <f t="shared" si="1"/>
        <v>282</v>
      </c>
    </row>
    <row r="78" spans="1:3" x14ac:dyDescent="0.25">
      <c r="A78" s="8">
        <v>48</v>
      </c>
      <c r="B78" s="13">
        <f t="shared" si="0"/>
        <v>715.3599999999999</v>
      </c>
      <c r="C78" s="9">
        <f t="shared" si="1"/>
        <v>288</v>
      </c>
    </row>
    <row r="79" spans="1:3" x14ac:dyDescent="0.25">
      <c r="A79" s="8">
        <v>49</v>
      </c>
      <c r="B79" s="13">
        <f t="shared" si="0"/>
        <v>717.95999999999992</v>
      </c>
      <c r="C79" s="9">
        <f t="shared" si="1"/>
        <v>294</v>
      </c>
    </row>
    <row r="80" spans="1:3" x14ac:dyDescent="0.25">
      <c r="A80" s="8">
        <v>50</v>
      </c>
      <c r="B80" s="13">
        <f t="shared" si="0"/>
        <v>720.56</v>
      </c>
      <c r="C80" s="9">
        <f t="shared" si="1"/>
        <v>300</v>
      </c>
    </row>
    <row r="81" spans="1:3" x14ac:dyDescent="0.25">
      <c r="A81" s="8">
        <v>51</v>
      </c>
      <c r="B81" s="13">
        <f t="shared" si="0"/>
        <v>723.16</v>
      </c>
      <c r="C81" s="9">
        <f t="shared" si="1"/>
        <v>306</v>
      </c>
    </row>
    <row r="82" spans="1:3" x14ac:dyDescent="0.25">
      <c r="A82" s="8">
        <v>52</v>
      </c>
      <c r="B82" s="13">
        <f t="shared" si="0"/>
        <v>725.76</v>
      </c>
      <c r="C82" s="9">
        <f t="shared" si="1"/>
        <v>312</v>
      </c>
    </row>
    <row r="83" spans="1:3" x14ac:dyDescent="0.25">
      <c r="A83" s="8">
        <v>53</v>
      </c>
      <c r="B83" s="13">
        <f t="shared" si="0"/>
        <v>728.3599999999999</v>
      </c>
      <c r="C83" s="9">
        <f t="shared" si="1"/>
        <v>318</v>
      </c>
    </row>
    <row r="84" spans="1:3" x14ac:dyDescent="0.25">
      <c r="A84" s="8">
        <v>54</v>
      </c>
      <c r="B84" s="13">
        <f t="shared" si="0"/>
        <v>730.95999999999992</v>
      </c>
      <c r="C84" s="9">
        <f t="shared" si="1"/>
        <v>324</v>
      </c>
    </row>
    <row r="85" spans="1:3" x14ac:dyDescent="0.25">
      <c r="A85" s="8">
        <v>55</v>
      </c>
      <c r="B85" s="13">
        <f t="shared" si="0"/>
        <v>733.56</v>
      </c>
      <c r="C85" s="9">
        <f t="shared" si="1"/>
        <v>330</v>
      </c>
    </row>
    <row r="86" spans="1:3" x14ac:dyDescent="0.25">
      <c r="A86" s="8">
        <v>56</v>
      </c>
      <c r="B86" s="13">
        <f t="shared" si="0"/>
        <v>736.16</v>
      </c>
      <c r="C86" s="9">
        <f t="shared" si="1"/>
        <v>336</v>
      </c>
    </row>
    <row r="87" spans="1:3" x14ac:dyDescent="0.25">
      <c r="A87" s="8">
        <v>57</v>
      </c>
      <c r="B87" s="13">
        <f t="shared" si="0"/>
        <v>738.76</v>
      </c>
      <c r="C87" s="9">
        <f t="shared" si="1"/>
        <v>342</v>
      </c>
    </row>
    <row r="88" spans="1:3" x14ac:dyDescent="0.25">
      <c r="A88" s="8">
        <v>58</v>
      </c>
      <c r="B88" s="13">
        <f t="shared" si="0"/>
        <v>741.3599999999999</v>
      </c>
      <c r="C88" s="9">
        <f t="shared" si="1"/>
        <v>348</v>
      </c>
    </row>
    <row r="89" spans="1:3" x14ac:dyDescent="0.25">
      <c r="A89" s="8">
        <v>59</v>
      </c>
      <c r="B89" s="13">
        <f t="shared" si="0"/>
        <v>743.95999999999992</v>
      </c>
      <c r="C89" s="9">
        <f t="shared" si="1"/>
        <v>354</v>
      </c>
    </row>
    <row r="90" spans="1:3" x14ac:dyDescent="0.25">
      <c r="A90" s="8">
        <v>60</v>
      </c>
      <c r="B90" s="13">
        <f t="shared" si="0"/>
        <v>746.56</v>
      </c>
      <c r="C90" s="9">
        <f t="shared" si="1"/>
        <v>360</v>
      </c>
    </row>
    <row r="91" spans="1:3" x14ac:dyDescent="0.25">
      <c r="A91" s="8">
        <v>61</v>
      </c>
      <c r="B91" s="13">
        <f t="shared" si="0"/>
        <v>749.16</v>
      </c>
      <c r="C91" s="9">
        <f t="shared" si="1"/>
        <v>366</v>
      </c>
    </row>
    <row r="92" spans="1:3" x14ac:dyDescent="0.25">
      <c r="A92" s="8">
        <v>62</v>
      </c>
      <c r="B92" s="13">
        <f t="shared" si="0"/>
        <v>751.76</v>
      </c>
      <c r="C92" s="9">
        <f t="shared" si="1"/>
        <v>372</v>
      </c>
    </row>
    <row r="93" spans="1:3" x14ac:dyDescent="0.25">
      <c r="A93" s="8">
        <v>63</v>
      </c>
      <c r="B93" s="13">
        <f t="shared" si="0"/>
        <v>754.3599999999999</v>
      </c>
      <c r="C93" s="9">
        <f t="shared" si="1"/>
        <v>378</v>
      </c>
    </row>
    <row r="94" spans="1:3" x14ac:dyDescent="0.25">
      <c r="A94" s="8">
        <v>64</v>
      </c>
      <c r="B94" s="13">
        <f t="shared" si="0"/>
        <v>756.95999999999992</v>
      </c>
      <c r="C94" s="9">
        <f t="shared" si="1"/>
        <v>384</v>
      </c>
    </row>
    <row r="95" spans="1:3" x14ac:dyDescent="0.25">
      <c r="A95" s="8">
        <v>65</v>
      </c>
      <c r="B95" s="13">
        <f t="shared" ref="B95:B158" si="2">$B$12+$B$22*A95</f>
        <v>759.56</v>
      </c>
      <c r="C95" s="9">
        <f t="shared" ref="C95:C158" si="3">$B$25*A95</f>
        <v>390</v>
      </c>
    </row>
    <row r="96" spans="1:3" x14ac:dyDescent="0.25">
      <c r="A96" s="8">
        <v>66</v>
      </c>
      <c r="B96" s="13">
        <f t="shared" si="2"/>
        <v>762.16</v>
      </c>
      <c r="C96" s="9">
        <f t="shared" si="3"/>
        <v>396</v>
      </c>
    </row>
    <row r="97" spans="1:3" x14ac:dyDescent="0.25">
      <c r="A97" s="8">
        <v>67</v>
      </c>
      <c r="B97" s="13">
        <f t="shared" si="2"/>
        <v>764.76</v>
      </c>
      <c r="C97" s="9">
        <f t="shared" si="3"/>
        <v>402</v>
      </c>
    </row>
    <row r="98" spans="1:3" x14ac:dyDescent="0.25">
      <c r="A98" s="8">
        <v>68</v>
      </c>
      <c r="B98" s="13">
        <f t="shared" si="2"/>
        <v>767.3599999999999</v>
      </c>
      <c r="C98" s="9">
        <f t="shared" si="3"/>
        <v>408</v>
      </c>
    </row>
    <row r="99" spans="1:3" x14ac:dyDescent="0.25">
      <c r="A99" s="8">
        <v>69</v>
      </c>
      <c r="B99" s="13">
        <f t="shared" si="2"/>
        <v>769.95999999999992</v>
      </c>
      <c r="C99" s="9">
        <f t="shared" si="3"/>
        <v>414</v>
      </c>
    </row>
    <row r="100" spans="1:3" x14ac:dyDescent="0.25">
      <c r="A100" s="8">
        <v>70</v>
      </c>
      <c r="B100" s="13">
        <f t="shared" si="2"/>
        <v>772.56</v>
      </c>
      <c r="C100" s="9">
        <f t="shared" si="3"/>
        <v>420</v>
      </c>
    </row>
    <row r="101" spans="1:3" x14ac:dyDescent="0.25">
      <c r="A101" s="8">
        <v>71</v>
      </c>
      <c r="B101" s="13">
        <f t="shared" si="2"/>
        <v>775.16</v>
      </c>
      <c r="C101" s="9">
        <f t="shared" si="3"/>
        <v>426</v>
      </c>
    </row>
    <row r="102" spans="1:3" x14ac:dyDescent="0.25">
      <c r="A102" s="8">
        <v>72</v>
      </c>
      <c r="B102" s="13">
        <f t="shared" si="2"/>
        <v>777.76</v>
      </c>
      <c r="C102" s="9">
        <f t="shared" si="3"/>
        <v>432</v>
      </c>
    </row>
    <row r="103" spans="1:3" x14ac:dyDescent="0.25">
      <c r="A103" s="8">
        <v>73</v>
      </c>
      <c r="B103" s="13">
        <f t="shared" si="2"/>
        <v>780.3599999999999</v>
      </c>
      <c r="C103" s="9">
        <f t="shared" si="3"/>
        <v>438</v>
      </c>
    </row>
    <row r="104" spans="1:3" x14ac:dyDescent="0.25">
      <c r="A104" s="8">
        <v>74</v>
      </c>
      <c r="B104" s="13">
        <f t="shared" si="2"/>
        <v>782.95999999999992</v>
      </c>
      <c r="C104" s="9">
        <f t="shared" si="3"/>
        <v>444</v>
      </c>
    </row>
    <row r="105" spans="1:3" x14ac:dyDescent="0.25">
      <c r="A105" s="8">
        <v>75</v>
      </c>
      <c r="B105" s="13">
        <f t="shared" si="2"/>
        <v>785.56</v>
      </c>
      <c r="C105" s="9">
        <f t="shared" si="3"/>
        <v>450</v>
      </c>
    </row>
    <row r="106" spans="1:3" x14ac:dyDescent="0.25">
      <c r="A106" s="8">
        <v>76</v>
      </c>
      <c r="B106" s="13">
        <f t="shared" si="2"/>
        <v>788.16</v>
      </c>
      <c r="C106" s="9">
        <f t="shared" si="3"/>
        <v>456</v>
      </c>
    </row>
    <row r="107" spans="1:3" x14ac:dyDescent="0.25">
      <c r="A107" s="8">
        <v>77</v>
      </c>
      <c r="B107" s="13">
        <f t="shared" si="2"/>
        <v>790.76</v>
      </c>
      <c r="C107" s="9">
        <f t="shared" si="3"/>
        <v>462</v>
      </c>
    </row>
    <row r="108" spans="1:3" x14ac:dyDescent="0.25">
      <c r="A108" s="8">
        <v>78</v>
      </c>
      <c r="B108" s="13">
        <f t="shared" si="2"/>
        <v>793.3599999999999</v>
      </c>
      <c r="C108" s="9">
        <f t="shared" si="3"/>
        <v>468</v>
      </c>
    </row>
    <row r="109" spans="1:3" x14ac:dyDescent="0.25">
      <c r="A109" s="8">
        <v>79</v>
      </c>
      <c r="B109" s="13">
        <f t="shared" si="2"/>
        <v>795.95999999999992</v>
      </c>
      <c r="C109" s="9">
        <f t="shared" si="3"/>
        <v>474</v>
      </c>
    </row>
    <row r="110" spans="1:3" x14ac:dyDescent="0.25">
      <c r="A110" s="8">
        <v>80</v>
      </c>
      <c r="B110" s="13">
        <f t="shared" si="2"/>
        <v>798.56</v>
      </c>
      <c r="C110" s="9">
        <f t="shared" si="3"/>
        <v>480</v>
      </c>
    </row>
    <row r="111" spans="1:3" x14ac:dyDescent="0.25">
      <c r="A111" s="8">
        <v>81</v>
      </c>
      <c r="B111" s="13">
        <f t="shared" si="2"/>
        <v>801.16</v>
      </c>
      <c r="C111" s="9">
        <f t="shared" si="3"/>
        <v>486</v>
      </c>
    </row>
    <row r="112" spans="1:3" x14ac:dyDescent="0.25">
      <c r="A112" s="8">
        <v>82</v>
      </c>
      <c r="B112" s="13">
        <f t="shared" si="2"/>
        <v>803.76</v>
      </c>
      <c r="C112" s="9">
        <f t="shared" si="3"/>
        <v>492</v>
      </c>
    </row>
    <row r="113" spans="1:3" x14ac:dyDescent="0.25">
      <c r="A113" s="8">
        <v>83</v>
      </c>
      <c r="B113" s="13">
        <f t="shared" si="2"/>
        <v>806.3599999999999</v>
      </c>
      <c r="C113" s="9">
        <f t="shared" si="3"/>
        <v>498</v>
      </c>
    </row>
    <row r="114" spans="1:3" x14ac:dyDescent="0.25">
      <c r="A114" s="8">
        <v>84</v>
      </c>
      <c r="B114" s="13">
        <f t="shared" si="2"/>
        <v>808.95999999999992</v>
      </c>
      <c r="C114" s="9">
        <f t="shared" si="3"/>
        <v>504</v>
      </c>
    </row>
    <row r="115" spans="1:3" x14ac:dyDescent="0.25">
      <c r="A115" s="8">
        <v>85</v>
      </c>
      <c r="B115" s="13">
        <f t="shared" si="2"/>
        <v>811.56</v>
      </c>
      <c r="C115" s="9">
        <f t="shared" si="3"/>
        <v>510</v>
      </c>
    </row>
    <row r="116" spans="1:3" x14ac:dyDescent="0.25">
      <c r="A116" s="8">
        <v>86</v>
      </c>
      <c r="B116" s="13">
        <f t="shared" si="2"/>
        <v>814.16</v>
      </c>
      <c r="C116" s="9">
        <f t="shared" si="3"/>
        <v>516</v>
      </c>
    </row>
    <row r="117" spans="1:3" x14ac:dyDescent="0.25">
      <c r="A117" s="8">
        <v>87</v>
      </c>
      <c r="B117" s="13">
        <f t="shared" si="2"/>
        <v>816.76</v>
      </c>
      <c r="C117" s="9">
        <f t="shared" si="3"/>
        <v>522</v>
      </c>
    </row>
    <row r="118" spans="1:3" x14ac:dyDescent="0.25">
      <c r="A118" s="8">
        <v>88</v>
      </c>
      <c r="B118" s="13">
        <f t="shared" si="2"/>
        <v>819.3599999999999</v>
      </c>
      <c r="C118" s="9">
        <f t="shared" si="3"/>
        <v>528</v>
      </c>
    </row>
    <row r="119" spans="1:3" x14ac:dyDescent="0.25">
      <c r="A119" s="8">
        <v>89</v>
      </c>
      <c r="B119" s="13">
        <f t="shared" si="2"/>
        <v>821.95999999999992</v>
      </c>
      <c r="C119" s="9">
        <f t="shared" si="3"/>
        <v>534</v>
      </c>
    </row>
    <row r="120" spans="1:3" x14ac:dyDescent="0.25">
      <c r="A120" s="8">
        <v>90</v>
      </c>
      <c r="B120" s="13">
        <f t="shared" si="2"/>
        <v>824.56</v>
      </c>
      <c r="C120" s="9">
        <f t="shared" si="3"/>
        <v>540</v>
      </c>
    </row>
    <row r="121" spans="1:3" x14ac:dyDescent="0.25">
      <c r="A121" s="8">
        <v>91</v>
      </c>
      <c r="B121" s="13">
        <f t="shared" si="2"/>
        <v>827.16</v>
      </c>
      <c r="C121" s="9">
        <f t="shared" si="3"/>
        <v>546</v>
      </c>
    </row>
    <row r="122" spans="1:3" x14ac:dyDescent="0.25">
      <c r="A122" s="8">
        <v>92</v>
      </c>
      <c r="B122" s="13">
        <f t="shared" si="2"/>
        <v>829.76</v>
      </c>
      <c r="C122" s="9">
        <f t="shared" si="3"/>
        <v>552</v>
      </c>
    </row>
    <row r="123" spans="1:3" x14ac:dyDescent="0.25">
      <c r="A123" s="8">
        <v>93</v>
      </c>
      <c r="B123" s="13">
        <f t="shared" si="2"/>
        <v>832.3599999999999</v>
      </c>
      <c r="C123" s="9">
        <f t="shared" si="3"/>
        <v>558</v>
      </c>
    </row>
    <row r="124" spans="1:3" x14ac:dyDescent="0.25">
      <c r="A124" s="8">
        <v>94</v>
      </c>
      <c r="B124" s="13">
        <f t="shared" si="2"/>
        <v>834.95999999999992</v>
      </c>
      <c r="C124" s="9">
        <f t="shared" si="3"/>
        <v>564</v>
      </c>
    </row>
    <row r="125" spans="1:3" x14ac:dyDescent="0.25">
      <c r="A125" s="8">
        <v>95</v>
      </c>
      <c r="B125" s="13">
        <f t="shared" si="2"/>
        <v>837.56</v>
      </c>
      <c r="C125" s="9">
        <f t="shared" si="3"/>
        <v>570</v>
      </c>
    </row>
    <row r="126" spans="1:3" x14ac:dyDescent="0.25">
      <c r="A126" s="8">
        <v>96</v>
      </c>
      <c r="B126" s="13">
        <f t="shared" si="2"/>
        <v>840.16</v>
      </c>
      <c r="C126" s="9">
        <f t="shared" si="3"/>
        <v>576</v>
      </c>
    </row>
    <row r="127" spans="1:3" x14ac:dyDescent="0.25">
      <c r="A127" s="8">
        <v>97</v>
      </c>
      <c r="B127" s="13">
        <f t="shared" si="2"/>
        <v>842.76</v>
      </c>
      <c r="C127" s="9">
        <f t="shared" si="3"/>
        <v>582</v>
      </c>
    </row>
    <row r="128" spans="1:3" x14ac:dyDescent="0.25">
      <c r="A128" s="8">
        <v>98</v>
      </c>
      <c r="B128" s="13">
        <f t="shared" si="2"/>
        <v>845.3599999999999</v>
      </c>
      <c r="C128" s="9">
        <f t="shared" si="3"/>
        <v>588</v>
      </c>
    </row>
    <row r="129" spans="1:3" x14ac:dyDescent="0.25">
      <c r="A129" s="8">
        <v>99</v>
      </c>
      <c r="B129" s="13">
        <f t="shared" si="2"/>
        <v>847.96</v>
      </c>
      <c r="C129" s="9">
        <f t="shared" si="3"/>
        <v>594</v>
      </c>
    </row>
    <row r="130" spans="1:3" x14ac:dyDescent="0.25">
      <c r="A130" s="8">
        <v>100</v>
      </c>
      <c r="B130" s="13">
        <f t="shared" si="2"/>
        <v>850.56</v>
      </c>
      <c r="C130" s="9">
        <f t="shared" si="3"/>
        <v>600</v>
      </c>
    </row>
    <row r="131" spans="1:3" x14ac:dyDescent="0.25">
      <c r="A131" s="15">
        <v>101</v>
      </c>
      <c r="B131" s="16">
        <f t="shared" si="2"/>
        <v>853.16</v>
      </c>
      <c r="C131" s="17">
        <f t="shared" si="3"/>
        <v>606</v>
      </c>
    </row>
    <row r="132" spans="1:3" x14ac:dyDescent="0.25">
      <c r="A132" s="8">
        <v>102</v>
      </c>
      <c r="B132" s="13">
        <f t="shared" si="2"/>
        <v>855.76</v>
      </c>
      <c r="C132" s="9">
        <f t="shared" si="3"/>
        <v>612</v>
      </c>
    </row>
    <row r="133" spans="1:3" x14ac:dyDescent="0.25">
      <c r="A133" s="8">
        <v>103</v>
      </c>
      <c r="B133" s="13">
        <f t="shared" si="2"/>
        <v>858.3599999999999</v>
      </c>
      <c r="C133" s="9">
        <f t="shared" si="3"/>
        <v>618</v>
      </c>
    </row>
    <row r="134" spans="1:3" x14ac:dyDescent="0.25">
      <c r="A134" s="8">
        <v>104</v>
      </c>
      <c r="B134" s="13">
        <f t="shared" si="2"/>
        <v>860.96</v>
      </c>
      <c r="C134" s="9">
        <f t="shared" si="3"/>
        <v>624</v>
      </c>
    </row>
    <row r="135" spans="1:3" x14ac:dyDescent="0.25">
      <c r="A135" s="8">
        <v>105</v>
      </c>
      <c r="B135" s="13">
        <f t="shared" si="2"/>
        <v>863.56</v>
      </c>
      <c r="C135" s="9">
        <f t="shared" si="3"/>
        <v>630</v>
      </c>
    </row>
    <row r="136" spans="1:3" x14ac:dyDescent="0.25">
      <c r="A136" s="8">
        <v>106</v>
      </c>
      <c r="B136" s="13">
        <f t="shared" si="2"/>
        <v>866.16</v>
      </c>
      <c r="C136" s="9">
        <f t="shared" si="3"/>
        <v>636</v>
      </c>
    </row>
    <row r="137" spans="1:3" x14ac:dyDescent="0.25">
      <c r="A137" s="8">
        <v>107</v>
      </c>
      <c r="B137" s="13">
        <f t="shared" si="2"/>
        <v>868.76</v>
      </c>
      <c r="C137" s="9">
        <f t="shared" si="3"/>
        <v>642</v>
      </c>
    </row>
    <row r="138" spans="1:3" x14ac:dyDescent="0.25">
      <c r="A138" s="8">
        <v>108</v>
      </c>
      <c r="B138" s="13">
        <f t="shared" si="2"/>
        <v>871.3599999999999</v>
      </c>
      <c r="C138" s="9">
        <f t="shared" si="3"/>
        <v>648</v>
      </c>
    </row>
    <row r="139" spans="1:3" x14ac:dyDescent="0.25">
      <c r="A139" s="8">
        <v>109</v>
      </c>
      <c r="B139" s="13">
        <f t="shared" si="2"/>
        <v>873.96</v>
      </c>
      <c r="C139" s="9">
        <f t="shared" si="3"/>
        <v>654</v>
      </c>
    </row>
    <row r="140" spans="1:3" x14ac:dyDescent="0.25">
      <c r="A140" s="8">
        <v>110</v>
      </c>
      <c r="B140" s="13">
        <f t="shared" si="2"/>
        <v>876.56</v>
      </c>
      <c r="C140" s="9">
        <f t="shared" si="3"/>
        <v>660</v>
      </c>
    </row>
    <row r="141" spans="1:3" x14ac:dyDescent="0.25">
      <c r="A141" s="8">
        <v>111</v>
      </c>
      <c r="B141" s="13">
        <f t="shared" si="2"/>
        <v>879.16</v>
      </c>
      <c r="C141" s="9">
        <f t="shared" si="3"/>
        <v>666</v>
      </c>
    </row>
    <row r="142" spans="1:3" x14ac:dyDescent="0.25">
      <c r="A142" s="8">
        <v>112</v>
      </c>
      <c r="B142" s="13">
        <f t="shared" si="2"/>
        <v>881.76</v>
      </c>
      <c r="C142" s="9">
        <f t="shared" si="3"/>
        <v>672</v>
      </c>
    </row>
    <row r="143" spans="1:3" x14ac:dyDescent="0.25">
      <c r="A143" s="8">
        <v>113</v>
      </c>
      <c r="B143" s="13">
        <f t="shared" si="2"/>
        <v>884.3599999999999</v>
      </c>
      <c r="C143" s="9">
        <f t="shared" si="3"/>
        <v>678</v>
      </c>
    </row>
    <row r="144" spans="1:3" x14ac:dyDescent="0.25">
      <c r="A144" s="8">
        <v>114</v>
      </c>
      <c r="B144" s="13">
        <f t="shared" si="2"/>
        <v>886.96</v>
      </c>
      <c r="C144" s="9">
        <f t="shared" si="3"/>
        <v>684</v>
      </c>
    </row>
    <row r="145" spans="1:3" x14ac:dyDescent="0.25">
      <c r="A145" s="8">
        <v>115</v>
      </c>
      <c r="B145" s="13">
        <f t="shared" si="2"/>
        <v>889.56</v>
      </c>
      <c r="C145" s="9">
        <f t="shared" si="3"/>
        <v>690</v>
      </c>
    </row>
    <row r="146" spans="1:3" x14ac:dyDescent="0.25">
      <c r="A146" s="8">
        <v>116</v>
      </c>
      <c r="B146" s="13">
        <f t="shared" si="2"/>
        <v>892.16</v>
      </c>
      <c r="C146" s="9">
        <f t="shared" si="3"/>
        <v>696</v>
      </c>
    </row>
    <row r="147" spans="1:3" x14ac:dyDescent="0.25">
      <c r="A147" s="8">
        <v>117</v>
      </c>
      <c r="B147" s="13">
        <f t="shared" si="2"/>
        <v>894.76</v>
      </c>
      <c r="C147" s="9">
        <f t="shared" si="3"/>
        <v>702</v>
      </c>
    </row>
    <row r="148" spans="1:3" x14ac:dyDescent="0.25">
      <c r="A148" s="8">
        <v>118</v>
      </c>
      <c r="B148" s="13">
        <f t="shared" si="2"/>
        <v>897.3599999999999</v>
      </c>
      <c r="C148" s="9">
        <f t="shared" si="3"/>
        <v>708</v>
      </c>
    </row>
    <row r="149" spans="1:3" x14ac:dyDescent="0.25">
      <c r="A149" s="8">
        <v>119</v>
      </c>
      <c r="B149" s="13">
        <f t="shared" si="2"/>
        <v>899.96</v>
      </c>
      <c r="C149" s="9">
        <f t="shared" si="3"/>
        <v>714</v>
      </c>
    </row>
    <row r="150" spans="1:3" x14ac:dyDescent="0.25">
      <c r="A150" s="8">
        <v>120</v>
      </c>
      <c r="B150" s="13">
        <f t="shared" si="2"/>
        <v>902.56</v>
      </c>
      <c r="C150" s="9">
        <f t="shared" si="3"/>
        <v>720</v>
      </c>
    </row>
    <row r="151" spans="1:3" x14ac:dyDescent="0.25">
      <c r="A151" s="8">
        <v>121</v>
      </c>
      <c r="B151" s="13">
        <f t="shared" si="2"/>
        <v>905.16</v>
      </c>
      <c r="C151" s="9">
        <f t="shared" si="3"/>
        <v>726</v>
      </c>
    </row>
    <row r="152" spans="1:3" x14ac:dyDescent="0.25">
      <c r="A152" s="8">
        <v>122</v>
      </c>
      <c r="B152" s="13">
        <f t="shared" si="2"/>
        <v>907.76</v>
      </c>
      <c r="C152" s="9">
        <f t="shared" si="3"/>
        <v>732</v>
      </c>
    </row>
    <row r="153" spans="1:3" x14ac:dyDescent="0.25">
      <c r="A153" s="8">
        <v>123</v>
      </c>
      <c r="B153" s="13">
        <f t="shared" si="2"/>
        <v>910.3599999999999</v>
      </c>
      <c r="C153" s="9">
        <f t="shared" si="3"/>
        <v>738</v>
      </c>
    </row>
    <row r="154" spans="1:3" x14ac:dyDescent="0.25">
      <c r="A154" s="8">
        <v>124</v>
      </c>
      <c r="B154" s="13">
        <f t="shared" si="2"/>
        <v>912.96</v>
      </c>
      <c r="C154" s="9">
        <f t="shared" si="3"/>
        <v>744</v>
      </c>
    </row>
    <row r="155" spans="1:3" x14ac:dyDescent="0.25">
      <c r="A155" s="8">
        <v>125</v>
      </c>
      <c r="B155" s="13">
        <f t="shared" si="2"/>
        <v>915.56</v>
      </c>
      <c r="C155" s="9">
        <f t="shared" si="3"/>
        <v>750</v>
      </c>
    </row>
    <row r="156" spans="1:3" x14ac:dyDescent="0.25">
      <c r="A156" s="8">
        <v>126</v>
      </c>
      <c r="B156" s="13">
        <f t="shared" si="2"/>
        <v>918.16</v>
      </c>
      <c r="C156" s="9">
        <f t="shared" si="3"/>
        <v>756</v>
      </c>
    </row>
    <row r="157" spans="1:3" x14ac:dyDescent="0.25">
      <c r="A157" s="8">
        <v>127</v>
      </c>
      <c r="B157" s="13">
        <f t="shared" si="2"/>
        <v>920.76</v>
      </c>
      <c r="C157" s="9">
        <f t="shared" si="3"/>
        <v>762</v>
      </c>
    </row>
    <row r="158" spans="1:3" x14ac:dyDescent="0.25">
      <c r="A158" s="8">
        <v>128</v>
      </c>
      <c r="B158" s="13">
        <f t="shared" si="2"/>
        <v>923.3599999999999</v>
      </c>
      <c r="C158" s="9">
        <f t="shared" si="3"/>
        <v>768</v>
      </c>
    </row>
    <row r="159" spans="1:3" x14ac:dyDescent="0.25">
      <c r="A159" s="8">
        <v>129</v>
      </c>
      <c r="B159" s="13">
        <f t="shared" ref="B159:B222" si="4">$B$12+$B$22*A159</f>
        <v>925.96</v>
      </c>
      <c r="C159" s="9">
        <f t="shared" ref="C159:C222" si="5">$B$25*A159</f>
        <v>774</v>
      </c>
    </row>
    <row r="160" spans="1:3" x14ac:dyDescent="0.25">
      <c r="A160" s="8">
        <v>130</v>
      </c>
      <c r="B160" s="13">
        <f t="shared" si="4"/>
        <v>928.56</v>
      </c>
      <c r="C160" s="9">
        <f t="shared" si="5"/>
        <v>780</v>
      </c>
    </row>
    <row r="161" spans="1:3" x14ac:dyDescent="0.25">
      <c r="A161" s="8">
        <v>131</v>
      </c>
      <c r="B161" s="13">
        <f t="shared" si="4"/>
        <v>931.16</v>
      </c>
      <c r="C161" s="9">
        <f t="shared" si="5"/>
        <v>786</v>
      </c>
    </row>
    <row r="162" spans="1:3" x14ac:dyDescent="0.25">
      <c r="A162" s="8">
        <v>132</v>
      </c>
      <c r="B162" s="13">
        <f t="shared" si="4"/>
        <v>933.76</v>
      </c>
      <c r="C162" s="9">
        <f t="shared" si="5"/>
        <v>792</v>
      </c>
    </row>
    <row r="163" spans="1:3" x14ac:dyDescent="0.25">
      <c r="A163" s="8">
        <v>133</v>
      </c>
      <c r="B163" s="13">
        <f t="shared" si="4"/>
        <v>936.3599999999999</v>
      </c>
      <c r="C163" s="9">
        <f t="shared" si="5"/>
        <v>798</v>
      </c>
    </row>
    <row r="164" spans="1:3" x14ac:dyDescent="0.25">
      <c r="A164" s="8">
        <v>134</v>
      </c>
      <c r="B164" s="13">
        <f t="shared" si="4"/>
        <v>938.96</v>
      </c>
      <c r="C164" s="9">
        <f t="shared" si="5"/>
        <v>804</v>
      </c>
    </row>
    <row r="165" spans="1:3" x14ac:dyDescent="0.25">
      <c r="A165" s="8">
        <v>135</v>
      </c>
      <c r="B165" s="13">
        <f t="shared" si="4"/>
        <v>941.56</v>
      </c>
      <c r="C165" s="9">
        <f t="shared" si="5"/>
        <v>810</v>
      </c>
    </row>
    <row r="166" spans="1:3" x14ac:dyDescent="0.25">
      <c r="A166" s="8">
        <v>136</v>
      </c>
      <c r="B166" s="13">
        <f t="shared" si="4"/>
        <v>944.16</v>
      </c>
      <c r="C166" s="9">
        <f t="shared" si="5"/>
        <v>816</v>
      </c>
    </row>
    <row r="167" spans="1:3" x14ac:dyDescent="0.25">
      <c r="A167" s="8">
        <v>137</v>
      </c>
      <c r="B167" s="13">
        <f t="shared" si="4"/>
        <v>946.76</v>
      </c>
      <c r="C167" s="9">
        <f t="shared" si="5"/>
        <v>822</v>
      </c>
    </row>
    <row r="168" spans="1:3" x14ac:dyDescent="0.25">
      <c r="A168" s="8">
        <v>138</v>
      </c>
      <c r="B168" s="13">
        <f t="shared" si="4"/>
        <v>949.3599999999999</v>
      </c>
      <c r="C168" s="9">
        <f t="shared" si="5"/>
        <v>828</v>
      </c>
    </row>
    <row r="169" spans="1:3" x14ac:dyDescent="0.25">
      <c r="A169" s="8">
        <v>139</v>
      </c>
      <c r="B169" s="13">
        <f t="shared" si="4"/>
        <v>951.96</v>
      </c>
      <c r="C169" s="9">
        <f t="shared" si="5"/>
        <v>834</v>
      </c>
    </row>
    <row r="170" spans="1:3" x14ac:dyDescent="0.25">
      <c r="A170" s="8">
        <v>140</v>
      </c>
      <c r="B170" s="13">
        <f t="shared" si="4"/>
        <v>954.56</v>
      </c>
      <c r="C170" s="9">
        <f t="shared" si="5"/>
        <v>840</v>
      </c>
    </row>
    <row r="171" spans="1:3" x14ac:dyDescent="0.25">
      <c r="A171" s="8">
        <v>141</v>
      </c>
      <c r="B171" s="13">
        <f t="shared" si="4"/>
        <v>957.16</v>
      </c>
      <c r="C171" s="9">
        <f t="shared" si="5"/>
        <v>846</v>
      </c>
    </row>
    <row r="172" spans="1:3" x14ac:dyDescent="0.25">
      <c r="A172" s="8">
        <v>142</v>
      </c>
      <c r="B172" s="13">
        <f t="shared" si="4"/>
        <v>959.76</v>
      </c>
      <c r="C172" s="9">
        <f t="shared" si="5"/>
        <v>852</v>
      </c>
    </row>
    <row r="173" spans="1:3" x14ac:dyDescent="0.25">
      <c r="A173" s="8">
        <v>143</v>
      </c>
      <c r="B173" s="13">
        <f t="shared" si="4"/>
        <v>962.3599999999999</v>
      </c>
      <c r="C173" s="9">
        <f t="shared" si="5"/>
        <v>858</v>
      </c>
    </row>
    <row r="174" spans="1:3" x14ac:dyDescent="0.25">
      <c r="A174" s="8">
        <v>144</v>
      </c>
      <c r="B174" s="13">
        <f t="shared" si="4"/>
        <v>964.96</v>
      </c>
      <c r="C174" s="9">
        <f t="shared" si="5"/>
        <v>864</v>
      </c>
    </row>
    <row r="175" spans="1:3" x14ac:dyDescent="0.25">
      <c r="A175" s="8">
        <v>145</v>
      </c>
      <c r="B175" s="13">
        <f t="shared" si="4"/>
        <v>967.56</v>
      </c>
      <c r="C175" s="9">
        <f t="shared" si="5"/>
        <v>870</v>
      </c>
    </row>
    <row r="176" spans="1:3" x14ac:dyDescent="0.25">
      <c r="A176" s="8">
        <v>146</v>
      </c>
      <c r="B176" s="13">
        <f t="shared" si="4"/>
        <v>970.16</v>
      </c>
      <c r="C176" s="9">
        <f t="shared" si="5"/>
        <v>876</v>
      </c>
    </row>
    <row r="177" spans="1:3" x14ac:dyDescent="0.25">
      <c r="A177" s="8">
        <v>147</v>
      </c>
      <c r="B177" s="13">
        <f t="shared" si="4"/>
        <v>972.76</v>
      </c>
      <c r="C177" s="9">
        <f t="shared" si="5"/>
        <v>882</v>
      </c>
    </row>
    <row r="178" spans="1:3" x14ac:dyDescent="0.25">
      <c r="A178" s="8">
        <v>148</v>
      </c>
      <c r="B178" s="13">
        <f t="shared" si="4"/>
        <v>975.3599999999999</v>
      </c>
      <c r="C178" s="9">
        <f t="shared" si="5"/>
        <v>888</v>
      </c>
    </row>
    <row r="179" spans="1:3" x14ac:dyDescent="0.25">
      <c r="A179" s="8">
        <v>149</v>
      </c>
      <c r="B179" s="13">
        <f t="shared" si="4"/>
        <v>977.96</v>
      </c>
      <c r="C179" s="9">
        <f t="shared" si="5"/>
        <v>894</v>
      </c>
    </row>
    <row r="180" spans="1:3" x14ac:dyDescent="0.25">
      <c r="A180" s="8">
        <v>150</v>
      </c>
      <c r="B180" s="13">
        <f t="shared" si="4"/>
        <v>980.56</v>
      </c>
      <c r="C180" s="9">
        <f t="shared" si="5"/>
        <v>900</v>
      </c>
    </row>
    <row r="181" spans="1:3" x14ac:dyDescent="0.25">
      <c r="A181" s="8">
        <v>151</v>
      </c>
      <c r="B181" s="13">
        <f t="shared" si="4"/>
        <v>983.16</v>
      </c>
      <c r="C181" s="9">
        <f t="shared" si="5"/>
        <v>906</v>
      </c>
    </row>
    <row r="182" spans="1:3" x14ac:dyDescent="0.25">
      <c r="A182" s="8">
        <v>152</v>
      </c>
      <c r="B182" s="13">
        <f t="shared" si="4"/>
        <v>985.76</v>
      </c>
      <c r="C182" s="9">
        <f t="shared" si="5"/>
        <v>912</v>
      </c>
    </row>
    <row r="183" spans="1:3" x14ac:dyDescent="0.25">
      <c r="A183" s="8">
        <v>153</v>
      </c>
      <c r="B183" s="13">
        <f t="shared" si="4"/>
        <v>988.3599999999999</v>
      </c>
      <c r="C183" s="9">
        <f t="shared" si="5"/>
        <v>918</v>
      </c>
    </row>
    <row r="184" spans="1:3" x14ac:dyDescent="0.25">
      <c r="A184" s="8">
        <v>154</v>
      </c>
      <c r="B184" s="13">
        <f t="shared" si="4"/>
        <v>990.96</v>
      </c>
      <c r="C184" s="9">
        <f t="shared" si="5"/>
        <v>924</v>
      </c>
    </row>
    <row r="185" spans="1:3" x14ac:dyDescent="0.25">
      <c r="A185" s="8">
        <v>155</v>
      </c>
      <c r="B185" s="13">
        <f t="shared" si="4"/>
        <v>993.56</v>
      </c>
      <c r="C185" s="9">
        <f t="shared" si="5"/>
        <v>930</v>
      </c>
    </row>
    <row r="186" spans="1:3" x14ac:dyDescent="0.25">
      <c r="A186" s="8">
        <v>156</v>
      </c>
      <c r="B186" s="13">
        <f t="shared" si="4"/>
        <v>996.16</v>
      </c>
      <c r="C186" s="9">
        <f t="shared" si="5"/>
        <v>936</v>
      </c>
    </row>
    <row r="187" spans="1:3" x14ac:dyDescent="0.25">
      <c r="A187" s="8">
        <v>157</v>
      </c>
      <c r="B187" s="13">
        <f t="shared" si="4"/>
        <v>998.76</v>
      </c>
      <c r="C187" s="9">
        <f t="shared" si="5"/>
        <v>942</v>
      </c>
    </row>
    <row r="188" spans="1:3" x14ac:dyDescent="0.25">
      <c r="A188" s="8">
        <v>158</v>
      </c>
      <c r="B188" s="13">
        <f t="shared" si="4"/>
        <v>1001.3599999999999</v>
      </c>
      <c r="C188" s="9">
        <f t="shared" si="5"/>
        <v>948</v>
      </c>
    </row>
    <row r="189" spans="1:3" x14ac:dyDescent="0.25">
      <c r="A189" s="8">
        <v>159</v>
      </c>
      <c r="B189" s="13">
        <f t="shared" si="4"/>
        <v>1003.96</v>
      </c>
      <c r="C189" s="9">
        <f t="shared" si="5"/>
        <v>954</v>
      </c>
    </row>
    <row r="190" spans="1:3" x14ac:dyDescent="0.25">
      <c r="A190" s="8">
        <v>160</v>
      </c>
      <c r="B190" s="13">
        <f t="shared" si="4"/>
        <v>1006.56</v>
      </c>
      <c r="C190" s="9">
        <f t="shared" si="5"/>
        <v>960</v>
      </c>
    </row>
    <row r="191" spans="1:3" x14ac:dyDescent="0.25">
      <c r="A191" s="8">
        <v>161</v>
      </c>
      <c r="B191" s="13">
        <f t="shared" si="4"/>
        <v>1009.16</v>
      </c>
      <c r="C191" s="9">
        <f t="shared" si="5"/>
        <v>966</v>
      </c>
    </row>
    <row r="192" spans="1:3" x14ac:dyDescent="0.25">
      <c r="A192" s="8">
        <v>162</v>
      </c>
      <c r="B192" s="13">
        <f t="shared" si="4"/>
        <v>1011.76</v>
      </c>
      <c r="C192" s="9">
        <f t="shared" si="5"/>
        <v>972</v>
      </c>
    </row>
    <row r="193" spans="1:3" x14ac:dyDescent="0.25">
      <c r="A193" s="8">
        <v>163</v>
      </c>
      <c r="B193" s="13">
        <f t="shared" si="4"/>
        <v>1014.3599999999999</v>
      </c>
      <c r="C193" s="9">
        <f t="shared" si="5"/>
        <v>978</v>
      </c>
    </row>
    <row r="194" spans="1:3" x14ac:dyDescent="0.25">
      <c r="A194" s="8">
        <v>164</v>
      </c>
      <c r="B194" s="13">
        <f t="shared" si="4"/>
        <v>1016.96</v>
      </c>
      <c r="C194" s="9">
        <f t="shared" si="5"/>
        <v>984</v>
      </c>
    </row>
    <row r="195" spans="1:3" x14ac:dyDescent="0.25">
      <c r="A195" s="8">
        <v>165</v>
      </c>
      <c r="B195" s="13">
        <f t="shared" si="4"/>
        <v>1019.56</v>
      </c>
      <c r="C195" s="9">
        <f t="shared" si="5"/>
        <v>990</v>
      </c>
    </row>
    <row r="196" spans="1:3" x14ac:dyDescent="0.25">
      <c r="A196" s="8">
        <v>166</v>
      </c>
      <c r="B196" s="13">
        <f t="shared" si="4"/>
        <v>1022.16</v>
      </c>
      <c r="C196" s="9">
        <f t="shared" si="5"/>
        <v>996</v>
      </c>
    </row>
    <row r="197" spans="1:3" x14ac:dyDescent="0.25">
      <c r="A197" s="8">
        <v>167</v>
      </c>
      <c r="B197" s="13">
        <f t="shared" si="4"/>
        <v>1024.76</v>
      </c>
      <c r="C197" s="9">
        <f t="shared" si="5"/>
        <v>1002</v>
      </c>
    </row>
    <row r="198" spans="1:3" x14ac:dyDescent="0.25">
      <c r="A198" s="8">
        <v>168</v>
      </c>
      <c r="B198" s="13">
        <f t="shared" si="4"/>
        <v>1027.3599999999999</v>
      </c>
      <c r="C198" s="9">
        <f t="shared" si="5"/>
        <v>1008</v>
      </c>
    </row>
    <row r="199" spans="1:3" x14ac:dyDescent="0.25">
      <c r="A199" s="8">
        <v>169</v>
      </c>
      <c r="B199" s="13">
        <f t="shared" si="4"/>
        <v>1029.96</v>
      </c>
      <c r="C199" s="9">
        <f t="shared" si="5"/>
        <v>1014</v>
      </c>
    </row>
    <row r="200" spans="1:3" x14ac:dyDescent="0.25">
      <c r="A200" s="8">
        <v>170</v>
      </c>
      <c r="B200" s="13">
        <f t="shared" si="4"/>
        <v>1032.56</v>
      </c>
      <c r="C200" s="9">
        <f t="shared" si="5"/>
        <v>1020</v>
      </c>
    </row>
    <row r="201" spans="1:3" x14ac:dyDescent="0.25">
      <c r="A201" s="8">
        <v>171</v>
      </c>
      <c r="B201" s="13">
        <f t="shared" si="4"/>
        <v>1035.1599999999999</v>
      </c>
      <c r="C201" s="9">
        <f t="shared" si="5"/>
        <v>1026</v>
      </c>
    </row>
    <row r="202" spans="1:3" x14ac:dyDescent="0.25">
      <c r="A202" s="8">
        <v>172</v>
      </c>
      <c r="B202" s="13">
        <f t="shared" si="4"/>
        <v>1037.76</v>
      </c>
      <c r="C202" s="9">
        <f t="shared" si="5"/>
        <v>1032</v>
      </c>
    </row>
    <row r="203" spans="1:3" x14ac:dyDescent="0.25">
      <c r="A203" s="8">
        <v>173</v>
      </c>
      <c r="B203" s="13">
        <f t="shared" si="4"/>
        <v>1040.3599999999999</v>
      </c>
      <c r="C203" s="9">
        <f t="shared" si="5"/>
        <v>1038</v>
      </c>
    </row>
    <row r="204" spans="1:3" x14ac:dyDescent="0.25">
      <c r="A204" s="8">
        <v>174</v>
      </c>
      <c r="B204" s="13">
        <f t="shared" si="4"/>
        <v>1042.96</v>
      </c>
      <c r="C204" s="9">
        <f t="shared" si="5"/>
        <v>1044</v>
      </c>
    </row>
    <row r="205" spans="1:3" x14ac:dyDescent="0.25">
      <c r="A205" s="8">
        <v>175</v>
      </c>
      <c r="B205" s="13">
        <f t="shared" si="4"/>
        <v>1045.56</v>
      </c>
      <c r="C205" s="9">
        <f t="shared" si="5"/>
        <v>1050</v>
      </c>
    </row>
    <row r="206" spans="1:3" x14ac:dyDescent="0.25">
      <c r="A206" s="8">
        <v>176</v>
      </c>
      <c r="B206" s="13">
        <f t="shared" si="4"/>
        <v>1048.1599999999999</v>
      </c>
      <c r="C206" s="9">
        <f t="shared" si="5"/>
        <v>1056</v>
      </c>
    </row>
    <row r="207" spans="1:3" x14ac:dyDescent="0.25">
      <c r="A207" s="8">
        <v>177</v>
      </c>
      <c r="B207" s="13">
        <f t="shared" si="4"/>
        <v>1050.76</v>
      </c>
      <c r="C207" s="9">
        <f t="shared" si="5"/>
        <v>1062</v>
      </c>
    </row>
    <row r="208" spans="1:3" x14ac:dyDescent="0.25">
      <c r="A208" s="8">
        <v>178</v>
      </c>
      <c r="B208" s="13">
        <f t="shared" si="4"/>
        <v>1053.3599999999999</v>
      </c>
      <c r="C208" s="9">
        <f t="shared" si="5"/>
        <v>1068</v>
      </c>
    </row>
    <row r="209" spans="1:3" x14ac:dyDescent="0.25">
      <c r="A209" s="8">
        <v>179</v>
      </c>
      <c r="B209" s="13">
        <f t="shared" si="4"/>
        <v>1055.96</v>
      </c>
      <c r="C209" s="9">
        <f t="shared" si="5"/>
        <v>1074</v>
      </c>
    </row>
    <row r="210" spans="1:3" x14ac:dyDescent="0.25">
      <c r="A210" s="8">
        <v>180</v>
      </c>
      <c r="B210" s="13">
        <f t="shared" si="4"/>
        <v>1058.56</v>
      </c>
      <c r="C210" s="9">
        <f t="shared" si="5"/>
        <v>1080</v>
      </c>
    </row>
    <row r="211" spans="1:3" x14ac:dyDescent="0.25">
      <c r="A211" s="8">
        <v>181</v>
      </c>
      <c r="B211" s="13">
        <f t="shared" si="4"/>
        <v>1061.1599999999999</v>
      </c>
      <c r="C211" s="9">
        <f t="shared" si="5"/>
        <v>1086</v>
      </c>
    </row>
    <row r="212" spans="1:3" x14ac:dyDescent="0.25">
      <c r="A212" s="8">
        <v>182</v>
      </c>
      <c r="B212" s="13">
        <f t="shared" si="4"/>
        <v>1063.76</v>
      </c>
      <c r="C212" s="9">
        <f t="shared" si="5"/>
        <v>1092</v>
      </c>
    </row>
    <row r="213" spans="1:3" x14ac:dyDescent="0.25">
      <c r="A213" s="8">
        <v>183</v>
      </c>
      <c r="B213" s="13">
        <f t="shared" si="4"/>
        <v>1066.3599999999999</v>
      </c>
      <c r="C213" s="9">
        <f t="shared" si="5"/>
        <v>1098</v>
      </c>
    </row>
    <row r="214" spans="1:3" x14ac:dyDescent="0.25">
      <c r="A214" s="8">
        <v>184</v>
      </c>
      <c r="B214" s="13">
        <f t="shared" si="4"/>
        <v>1068.96</v>
      </c>
      <c r="C214" s="9">
        <f t="shared" si="5"/>
        <v>1104</v>
      </c>
    </row>
    <row r="215" spans="1:3" x14ac:dyDescent="0.25">
      <c r="A215" s="8">
        <v>185</v>
      </c>
      <c r="B215" s="13">
        <f t="shared" si="4"/>
        <v>1071.56</v>
      </c>
      <c r="C215" s="9">
        <f t="shared" si="5"/>
        <v>1110</v>
      </c>
    </row>
    <row r="216" spans="1:3" x14ac:dyDescent="0.25">
      <c r="A216" s="8">
        <v>186</v>
      </c>
      <c r="B216" s="13">
        <f t="shared" si="4"/>
        <v>1074.1599999999999</v>
      </c>
      <c r="C216" s="9">
        <f t="shared" si="5"/>
        <v>1116</v>
      </c>
    </row>
    <row r="217" spans="1:3" x14ac:dyDescent="0.25">
      <c r="A217" s="8">
        <v>187</v>
      </c>
      <c r="B217" s="13">
        <f t="shared" si="4"/>
        <v>1076.76</v>
      </c>
      <c r="C217" s="9">
        <f t="shared" si="5"/>
        <v>1122</v>
      </c>
    </row>
    <row r="218" spans="1:3" x14ac:dyDescent="0.25">
      <c r="A218" s="8">
        <v>188</v>
      </c>
      <c r="B218" s="13">
        <f t="shared" si="4"/>
        <v>1079.3599999999999</v>
      </c>
      <c r="C218" s="9">
        <f t="shared" si="5"/>
        <v>1128</v>
      </c>
    </row>
    <row r="219" spans="1:3" x14ac:dyDescent="0.25">
      <c r="A219" s="8">
        <v>189</v>
      </c>
      <c r="B219" s="13">
        <f t="shared" si="4"/>
        <v>1081.96</v>
      </c>
      <c r="C219" s="9">
        <f t="shared" si="5"/>
        <v>1134</v>
      </c>
    </row>
    <row r="220" spans="1:3" x14ac:dyDescent="0.25">
      <c r="A220" s="8">
        <v>190</v>
      </c>
      <c r="B220" s="13">
        <f t="shared" si="4"/>
        <v>1084.56</v>
      </c>
      <c r="C220" s="9">
        <f t="shared" si="5"/>
        <v>1140</v>
      </c>
    </row>
    <row r="221" spans="1:3" x14ac:dyDescent="0.25">
      <c r="A221" s="8">
        <v>191</v>
      </c>
      <c r="B221" s="13">
        <f t="shared" si="4"/>
        <v>1087.1599999999999</v>
      </c>
      <c r="C221" s="9">
        <f t="shared" si="5"/>
        <v>1146</v>
      </c>
    </row>
    <row r="222" spans="1:3" x14ac:dyDescent="0.25">
      <c r="A222" s="8">
        <v>192</v>
      </c>
      <c r="B222" s="13">
        <f t="shared" si="4"/>
        <v>1089.76</v>
      </c>
      <c r="C222" s="9">
        <f t="shared" si="5"/>
        <v>1152</v>
      </c>
    </row>
    <row r="223" spans="1:3" x14ac:dyDescent="0.25">
      <c r="A223" s="8">
        <v>193</v>
      </c>
      <c r="B223" s="13">
        <f t="shared" ref="B223:B230" si="6">$B$12+$B$22*A223</f>
        <v>1092.3599999999999</v>
      </c>
      <c r="C223" s="9">
        <f t="shared" ref="C223:C230" si="7">$B$25*A223</f>
        <v>1158</v>
      </c>
    </row>
    <row r="224" spans="1:3" x14ac:dyDescent="0.25">
      <c r="A224" s="8">
        <v>194</v>
      </c>
      <c r="B224" s="13">
        <f t="shared" si="6"/>
        <v>1094.96</v>
      </c>
      <c r="C224" s="9">
        <f t="shared" si="7"/>
        <v>1164</v>
      </c>
    </row>
    <row r="225" spans="1:3" x14ac:dyDescent="0.25">
      <c r="A225" s="8">
        <v>195</v>
      </c>
      <c r="B225" s="13">
        <f t="shared" si="6"/>
        <v>1097.56</v>
      </c>
      <c r="C225" s="9">
        <f t="shared" si="7"/>
        <v>1170</v>
      </c>
    </row>
    <row r="226" spans="1:3" x14ac:dyDescent="0.25">
      <c r="A226" s="8">
        <v>196</v>
      </c>
      <c r="B226" s="13">
        <f t="shared" si="6"/>
        <v>1100.1599999999999</v>
      </c>
      <c r="C226" s="9">
        <f t="shared" si="7"/>
        <v>1176</v>
      </c>
    </row>
    <row r="227" spans="1:3" x14ac:dyDescent="0.25">
      <c r="A227" s="8">
        <v>197</v>
      </c>
      <c r="B227" s="13">
        <f t="shared" si="6"/>
        <v>1102.76</v>
      </c>
      <c r="C227" s="9">
        <f t="shared" si="7"/>
        <v>1182</v>
      </c>
    </row>
    <row r="228" spans="1:3" x14ac:dyDescent="0.25">
      <c r="A228" s="8">
        <v>198</v>
      </c>
      <c r="B228" s="13">
        <f t="shared" si="6"/>
        <v>1105.3600000000001</v>
      </c>
      <c r="C228" s="9">
        <f t="shared" si="7"/>
        <v>1188</v>
      </c>
    </row>
    <row r="229" spans="1:3" x14ac:dyDescent="0.25">
      <c r="A229" s="8">
        <v>199</v>
      </c>
      <c r="B229" s="13">
        <f t="shared" si="6"/>
        <v>1107.96</v>
      </c>
      <c r="C229" s="9">
        <f t="shared" si="7"/>
        <v>1194</v>
      </c>
    </row>
    <row r="230" spans="1:3" x14ac:dyDescent="0.25">
      <c r="A230" s="8">
        <v>200</v>
      </c>
      <c r="B230" s="13">
        <f t="shared" si="6"/>
        <v>1110.56</v>
      </c>
      <c r="C230" s="9">
        <f t="shared" si="7"/>
        <v>1200</v>
      </c>
    </row>
  </sheetData>
  <mergeCells count="2">
    <mergeCell ref="A3:B3"/>
    <mergeCell ref="A16:B16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371D7D644B574CA89B5F00ED09B0C8" ma:contentTypeVersion="15" ma:contentTypeDescription="Crear nuevo documento." ma:contentTypeScope="" ma:versionID="bd33285d5daf4dee329ae000bb583124">
  <xsd:schema xmlns:xsd="http://www.w3.org/2001/XMLSchema" xmlns:xs="http://www.w3.org/2001/XMLSchema" xmlns:p="http://schemas.microsoft.com/office/2006/metadata/properties" xmlns:ns3="5cfc5781-36c7-40ed-af62-43a27290b458" xmlns:ns4="c4b568bc-dd8a-4a74-b92a-f01b2ee1149b" targetNamespace="http://schemas.microsoft.com/office/2006/metadata/properties" ma:root="true" ma:fieldsID="6974282011ce0aef1ed393e1233ba8cc" ns3:_="" ns4:_="">
    <xsd:import namespace="5cfc5781-36c7-40ed-af62-43a27290b458"/>
    <xsd:import namespace="c4b568bc-dd8a-4a74-b92a-f01b2ee1149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_activity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fc5781-36c7-40ed-af62-43a27290b4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b568bc-dd8a-4a74-b92a-f01b2ee1149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cfc5781-36c7-40ed-af62-43a27290b458" xsi:nil="true"/>
  </documentManagement>
</p:properties>
</file>

<file path=customXml/itemProps1.xml><?xml version="1.0" encoding="utf-8"?>
<ds:datastoreItem xmlns:ds="http://schemas.openxmlformats.org/officeDocument/2006/customXml" ds:itemID="{7417AF40-C3B2-4E1A-88EB-AB01B9312A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cfc5781-36c7-40ed-af62-43a27290b458"/>
    <ds:schemaRef ds:uri="c4b568bc-dd8a-4a74-b92a-f01b2ee114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725DCE3-03BC-44D7-BC9C-71C7B5BFC1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4FBB6FF-EC5C-4DA6-BDE2-BFD391C0AAC1}">
  <ds:schemaRefs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terms/"/>
    <ds:schemaRef ds:uri="http://purl.org/dc/elements/1.1/"/>
    <ds:schemaRef ds:uri="5cfc5781-36c7-40ed-af62-43a27290b458"/>
    <ds:schemaRef ds:uri="http://schemas.microsoft.com/office/infopath/2007/PartnerControls"/>
    <ds:schemaRef ds:uri="http://schemas.openxmlformats.org/package/2006/metadata/core-properties"/>
    <ds:schemaRef ds:uri="c4b568bc-dd8a-4a74-b92a-f01b2ee1149b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Ejercicio Clase</vt:lpstr>
      <vt:lpstr>Ejercicio 2</vt:lpstr>
      <vt:lpstr>Mi Punto de Equilibrio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VICENTE DAVID CATOTA MESIAS</dc:creator>
  <cp:lastModifiedBy>lisbeth rosas</cp:lastModifiedBy>
  <dcterms:created xsi:type="dcterms:W3CDTF">2025-08-30T12:50:38Z</dcterms:created>
  <dcterms:modified xsi:type="dcterms:W3CDTF">2026-03-26T05:30:25Z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0x0101008C371D7D644B574CA89B5F00ED09B0C8</vt:lpwstr>
  </property>
</Properties>
</file>